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c2d046ac5e3df/Desktop/bast/"/>
    </mc:Choice>
  </mc:AlternateContent>
  <xr:revisionPtr revIDLastSave="1" documentId="8_{F93735D4-4743-4991-8F4A-4AD93A0F5DD2}" xr6:coauthVersionLast="47" xr6:coauthVersionMax="47" xr10:uidLastSave="{12A6EB6F-9FD5-4906-8B1A-38261644617C}"/>
  <bookViews>
    <workbookView xWindow="-108" yWindow="-108" windowWidth="23256" windowHeight="12456" xr2:uid="{AD21FE7C-24C2-442C-9639-861D78A74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1" i="1" l="1"/>
  <c r="M201" i="1"/>
  <c r="L201" i="1"/>
  <c r="C201" i="1"/>
  <c r="N200" i="1"/>
  <c r="M200" i="1"/>
  <c r="L200" i="1"/>
  <c r="C200" i="1"/>
  <c r="N199" i="1"/>
  <c r="M199" i="1"/>
  <c r="L199" i="1"/>
  <c r="C199" i="1"/>
  <c r="N198" i="1"/>
  <c r="M198" i="1"/>
  <c r="L198" i="1"/>
  <c r="C198" i="1"/>
  <c r="N197" i="1"/>
  <c r="M197" i="1"/>
  <c r="L197" i="1"/>
  <c r="C197" i="1"/>
  <c r="N196" i="1"/>
  <c r="M196" i="1"/>
  <c r="L196" i="1"/>
  <c r="C196" i="1"/>
  <c r="N195" i="1"/>
  <c r="M195" i="1"/>
  <c r="L195" i="1"/>
  <c r="C195" i="1"/>
  <c r="N194" i="1"/>
  <c r="M194" i="1"/>
  <c r="L194" i="1"/>
  <c r="C194" i="1"/>
  <c r="N193" i="1"/>
  <c r="M193" i="1"/>
  <c r="L193" i="1"/>
  <c r="C193" i="1"/>
  <c r="N192" i="1"/>
  <c r="M192" i="1"/>
  <c r="L192" i="1"/>
  <c r="C192" i="1"/>
  <c r="N191" i="1"/>
  <c r="M191" i="1"/>
  <c r="L191" i="1"/>
  <c r="C191" i="1"/>
  <c r="N190" i="1"/>
  <c r="M190" i="1"/>
  <c r="L190" i="1"/>
  <c r="C190" i="1"/>
  <c r="N189" i="1"/>
  <c r="M189" i="1"/>
  <c r="L189" i="1"/>
  <c r="C189" i="1"/>
  <c r="N188" i="1"/>
  <c r="M188" i="1"/>
  <c r="L188" i="1"/>
  <c r="C188" i="1"/>
  <c r="N187" i="1"/>
  <c r="M187" i="1"/>
  <c r="L187" i="1"/>
  <c r="C187" i="1"/>
  <c r="N186" i="1"/>
  <c r="M186" i="1"/>
  <c r="L186" i="1"/>
  <c r="C186" i="1"/>
  <c r="N185" i="1"/>
  <c r="M185" i="1"/>
  <c r="L185" i="1"/>
  <c r="C185" i="1"/>
  <c r="N184" i="1"/>
  <c r="M184" i="1"/>
  <c r="L184" i="1"/>
  <c r="C184" i="1"/>
  <c r="N183" i="1"/>
  <c r="M183" i="1"/>
  <c r="L183" i="1"/>
  <c r="C183" i="1"/>
  <c r="N182" i="1"/>
  <c r="M182" i="1"/>
  <c r="L182" i="1"/>
  <c r="C182" i="1"/>
  <c r="N181" i="1"/>
  <c r="M181" i="1"/>
  <c r="L181" i="1"/>
  <c r="C181" i="1"/>
  <c r="N180" i="1"/>
  <c r="M180" i="1"/>
  <c r="L180" i="1"/>
  <c r="C180" i="1"/>
  <c r="N179" i="1"/>
  <c r="M179" i="1"/>
  <c r="L179" i="1"/>
  <c r="C179" i="1"/>
  <c r="N178" i="1"/>
  <c r="M178" i="1"/>
  <c r="L178" i="1"/>
  <c r="C178" i="1"/>
  <c r="N177" i="1"/>
  <c r="M177" i="1"/>
  <c r="L177" i="1"/>
  <c r="C177" i="1"/>
  <c r="N176" i="1"/>
  <c r="M176" i="1"/>
  <c r="L176" i="1"/>
  <c r="C176" i="1"/>
  <c r="N175" i="1"/>
  <c r="M175" i="1"/>
  <c r="L175" i="1"/>
  <c r="C175" i="1"/>
  <c r="N174" i="1"/>
  <c r="M174" i="1"/>
  <c r="L174" i="1"/>
  <c r="C174" i="1"/>
  <c r="N173" i="1"/>
  <c r="M173" i="1"/>
  <c r="L173" i="1"/>
  <c r="C173" i="1"/>
  <c r="N172" i="1"/>
  <c r="M172" i="1"/>
  <c r="L172" i="1"/>
  <c r="C172" i="1"/>
  <c r="N171" i="1"/>
  <c r="M171" i="1"/>
  <c r="L171" i="1"/>
  <c r="C171" i="1"/>
  <c r="N170" i="1"/>
  <c r="M170" i="1"/>
  <c r="L170" i="1"/>
  <c r="C170" i="1"/>
  <c r="N169" i="1"/>
  <c r="M169" i="1"/>
  <c r="L169" i="1"/>
  <c r="C169" i="1"/>
  <c r="N168" i="1"/>
  <c r="M168" i="1"/>
  <c r="L168" i="1"/>
  <c r="C168" i="1"/>
  <c r="N167" i="1"/>
  <c r="M167" i="1"/>
  <c r="L167" i="1"/>
  <c r="C167" i="1"/>
  <c r="N166" i="1"/>
  <c r="M166" i="1"/>
  <c r="L166" i="1"/>
  <c r="C166" i="1"/>
  <c r="N165" i="1"/>
  <c r="M165" i="1"/>
  <c r="L165" i="1"/>
  <c r="C165" i="1"/>
  <c r="N164" i="1"/>
  <c r="M164" i="1"/>
  <c r="L164" i="1"/>
  <c r="C164" i="1"/>
  <c r="N163" i="1"/>
  <c r="M163" i="1"/>
  <c r="L163" i="1"/>
  <c r="C163" i="1"/>
  <c r="N162" i="1"/>
  <c r="M162" i="1"/>
  <c r="L162" i="1"/>
  <c r="C162" i="1"/>
  <c r="N161" i="1"/>
  <c r="M161" i="1"/>
  <c r="L161" i="1"/>
  <c r="C161" i="1"/>
  <c r="N160" i="1"/>
  <c r="M160" i="1"/>
  <c r="L160" i="1"/>
  <c r="C160" i="1"/>
  <c r="N159" i="1"/>
  <c r="M159" i="1"/>
  <c r="L159" i="1"/>
  <c r="C159" i="1"/>
  <c r="N158" i="1"/>
  <c r="M158" i="1"/>
  <c r="L158" i="1"/>
  <c r="C158" i="1"/>
  <c r="N157" i="1"/>
  <c r="M157" i="1"/>
  <c r="L157" i="1"/>
  <c r="C157" i="1"/>
  <c r="N156" i="1"/>
  <c r="M156" i="1"/>
  <c r="L156" i="1"/>
  <c r="C156" i="1"/>
  <c r="N155" i="1"/>
  <c r="M155" i="1"/>
  <c r="L155" i="1"/>
  <c r="C155" i="1"/>
  <c r="N154" i="1"/>
  <c r="M154" i="1"/>
  <c r="L154" i="1"/>
  <c r="C154" i="1"/>
  <c r="N153" i="1"/>
  <c r="M153" i="1"/>
  <c r="L153" i="1"/>
  <c r="C153" i="1"/>
  <c r="N152" i="1"/>
  <c r="M152" i="1"/>
  <c r="L152" i="1"/>
  <c r="C152" i="1"/>
  <c r="N151" i="1"/>
  <c r="M151" i="1"/>
  <c r="L151" i="1"/>
  <c r="C151" i="1"/>
  <c r="N150" i="1"/>
  <c r="M150" i="1"/>
  <c r="L150" i="1"/>
  <c r="C150" i="1"/>
  <c r="N149" i="1"/>
  <c r="M149" i="1"/>
  <c r="L149" i="1"/>
  <c r="C149" i="1"/>
  <c r="N148" i="1"/>
  <c r="M148" i="1"/>
  <c r="L148" i="1"/>
  <c r="C148" i="1"/>
  <c r="N147" i="1"/>
  <c r="M147" i="1"/>
  <c r="L147" i="1"/>
  <c r="C147" i="1"/>
  <c r="N146" i="1"/>
  <c r="M146" i="1"/>
  <c r="L146" i="1"/>
  <c r="C146" i="1"/>
  <c r="N145" i="1"/>
  <c r="M145" i="1"/>
  <c r="L145" i="1"/>
  <c r="C145" i="1"/>
  <c r="N144" i="1"/>
  <c r="M144" i="1"/>
  <c r="L144" i="1"/>
  <c r="C144" i="1"/>
  <c r="N143" i="1"/>
  <c r="M143" i="1"/>
  <c r="L143" i="1"/>
  <c r="C143" i="1"/>
  <c r="N142" i="1"/>
  <c r="M142" i="1"/>
  <c r="L142" i="1"/>
  <c r="C142" i="1"/>
  <c r="N141" i="1"/>
  <c r="M141" i="1"/>
  <c r="L141" i="1"/>
  <c r="C141" i="1"/>
  <c r="N140" i="1"/>
  <c r="M140" i="1"/>
  <c r="L140" i="1"/>
  <c r="C140" i="1"/>
  <c r="N139" i="1"/>
  <c r="M139" i="1"/>
  <c r="L139" i="1"/>
  <c r="C139" i="1"/>
  <c r="N138" i="1"/>
  <c r="M138" i="1"/>
  <c r="L138" i="1"/>
  <c r="C138" i="1"/>
  <c r="N137" i="1"/>
  <c r="M137" i="1"/>
  <c r="L137" i="1"/>
  <c r="C137" i="1"/>
  <c r="N136" i="1"/>
  <c r="M136" i="1"/>
  <c r="L136" i="1"/>
  <c r="C136" i="1"/>
  <c r="N135" i="1"/>
  <c r="M135" i="1"/>
  <c r="L135" i="1"/>
  <c r="C135" i="1"/>
  <c r="N134" i="1"/>
  <c r="M134" i="1"/>
  <c r="L134" i="1"/>
  <c r="C134" i="1"/>
  <c r="N133" i="1"/>
  <c r="M133" i="1"/>
  <c r="L133" i="1"/>
  <c r="C133" i="1"/>
  <c r="N132" i="1"/>
  <c r="M132" i="1"/>
  <c r="L132" i="1"/>
  <c r="C132" i="1"/>
  <c r="N131" i="1"/>
  <c r="M131" i="1"/>
  <c r="L131" i="1"/>
  <c r="C131" i="1"/>
  <c r="N130" i="1"/>
  <c r="M130" i="1"/>
  <c r="L130" i="1"/>
  <c r="C130" i="1"/>
  <c r="N129" i="1"/>
  <c r="M129" i="1"/>
  <c r="L129" i="1"/>
  <c r="C129" i="1"/>
  <c r="N128" i="1"/>
  <c r="M128" i="1"/>
  <c r="L128" i="1"/>
  <c r="C128" i="1"/>
  <c r="N127" i="1"/>
  <c r="M127" i="1"/>
  <c r="L127" i="1"/>
  <c r="C127" i="1"/>
  <c r="N126" i="1"/>
  <c r="M126" i="1"/>
  <c r="L126" i="1"/>
  <c r="C126" i="1"/>
  <c r="N125" i="1"/>
  <c r="M125" i="1"/>
  <c r="L125" i="1"/>
  <c r="C125" i="1"/>
  <c r="N124" i="1"/>
  <c r="M124" i="1"/>
  <c r="L124" i="1"/>
  <c r="C124" i="1"/>
  <c r="N123" i="1"/>
  <c r="M123" i="1"/>
  <c r="L123" i="1"/>
  <c r="C123" i="1"/>
  <c r="N122" i="1"/>
  <c r="M122" i="1"/>
  <c r="L122" i="1"/>
  <c r="C122" i="1"/>
  <c r="N121" i="1"/>
  <c r="M121" i="1"/>
  <c r="L121" i="1"/>
  <c r="C121" i="1"/>
  <c r="N120" i="1"/>
  <c r="M120" i="1"/>
  <c r="L120" i="1"/>
  <c r="C120" i="1"/>
  <c r="N119" i="1"/>
  <c r="M119" i="1"/>
  <c r="L119" i="1"/>
  <c r="C119" i="1"/>
  <c r="N118" i="1"/>
  <c r="M118" i="1"/>
  <c r="L118" i="1"/>
  <c r="C118" i="1"/>
  <c r="N117" i="1"/>
  <c r="M117" i="1"/>
  <c r="L117" i="1"/>
  <c r="C117" i="1"/>
  <c r="N116" i="1"/>
  <c r="M116" i="1"/>
  <c r="L116" i="1"/>
  <c r="C116" i="1"/>
  <c r="N115" i="1"/>
  <c r="M115" i="1"/>
  <c r="L115" i="1"/>
  <c r="C115" i="1"/>
  <c r="N114" i="1"/>
  <c r="M114" i="1"/>
  <c r="L114" i="1"/>
  <c r="C114" i="1"/>
  <c r="N113" i="1"/>
  <c r="M113" i="1"/>
  <c r="L113" i="1"/>
  <c r="C113" i="1"/>
  <c r="N112" i="1"/>
  <c r="M112" i="1"/>
  <c r="L112" i="1"/>
  <c r="C112" i="1"/>
  <c r="N111" i="1"/>
  <c r="M111" i="1"/>
  <c r="L111" i="1"/>
  <c r="C111" i="1"/>
  <c r="N110" i="1"/>
  <c r="M110" i="1"/>
  <c r="L110" i="1"/>
  <c r="C110" i="1"/>
  <c r="N109" i="1"/>
  <c r="M109" i="1"/>
  <c r="L109" i="1"/>
  <c r="C109" i="1"/>
  <c r="N108" i="1"/>
  <c r="M108" i="1"/>
  <c r="L108" i="1"/>
  <c r="C108" i="1"/>
  <c r="N107" i="1"/>
  <c r="M107" i="1"/>
  <c r="L107" i="1"/>
  <c r="C107" i="1"/>
  <c r="N106" i="1"/>
  <c r="M106" i="1"/>
  <c r="L106" i="1"/>
  <c r="C106" i="1"/>
  <c r="N105" i="1"/>
  <c r="M105" i="1"/>
  <c r="L105" i="1"/>
  <c r="C105" i="1"/>
  <c r="N104" i="1"/>
  <c r="M104" i="1"/>
  <c r="L104" i="1"/>
  <c r="C104" i="1"/>
  <c r="N103" i="1"/>
  <c r="M103" i="1"/>
  <c r="L103" i="1"/>
  <c r="C103" i="1"/>
  <c r="N102" i="1"/>
  <c r="M102" i="1"/>
  <c r="L102" i="1"/>
  <c r="C102" i="1"/>
  <c r="N101" i="1"/>
  <c r="M101" i="1"/>
  <c r="L101" i="1"/>
  <c r="C101" i="1"/>
  <c r="N100" i="1"/>
  <c r="M100" i="1"/>
  <c r="L100" i="1"/>
  <c r="C100" i="1"/>
  <c r="N99" i="1"/>
  <c r="M99" i="1"/>
  <c r="L99" i="1"/>
  <c r="C99" i="1"/>
  <c r="N98" i="1"/>
  <c r="M98" i="1"/>
  <c r="L98" i="1"/>
  <c r="C98" i="1"/>
  <c r="N97" i="1"/>
  <c r="M97" i="1"/>
  <c r="L97" i="1"/>
  <c r="C97" i="1"/>
  <c r="N96" i="1"/>
  <c r="M96" i="1"/>
  <c r="L96" i="1"/>
  <c r="C96" i="1"/>
  <c r="N95" i="1"/>
  <c r="M95" i="1"/>
  <c r="L95" i="1"/>
  <c r="C95" i="1"/>
  <c r="N94" i="1"/>
  <c r="M94" i="1"/>
  <c r="L94" i="1"/>
  <c r="C94" i="1"/>
  <c r="N93" i="1"/>
  <c r="M93" i="1"/>
  <c r="L93" i="1"/>
  <c r="C93" i="1"/>
  <c r="N92" i="1"/>
  <c r="M92" i="1"/>
  <c r="L92" i="1"/>
  <c r="C92" i="1"/>
  <c r="N91" i="1"/>
  <c r="M91" i="1"/>
  <c r="L91" i="1"/>
  <c r="C91" i="1"/>
  <c r="N90" i="1"/>
  <c r="M90" i="1"/>
  <c r="L90" i="1"/>
  <c r="C90" i="1"/>
  <c r="N89" i="1"/>
  <c r="M89" i="1"/>
  <c r="L89" i="1"/>
  <c r="C89" i="1"/>
  <c r="N88" i="1"/>
  <c r="M88" i="1"/>
  <c r="L88" i="1"/>
  <c r="C88" i="1"/>
  <c r="N87" i="1"/>
  <c r="M87" i="1"/>
  <c r="L87" i="1"/>
  <c r="C87" i="1"/>
  <c r="N86" i="1"/>
  <c r="M86" i="1"/>
  <c r="L86" i="1"/>
  <c r="C86" i="1"/>
  <c r="N85" i="1"/>
  <c r="M85" i="1"/>
  <c r="L85" i="1"/>
  <c r="C85" i="1"/>
  <c r="N84" i="1"/>
  <c r="M84" i="1"/>
  <c r="L84" i="1"/>
  <c r="C84" i="1"/>
  <c r="N83" i="1"/>
  <c r="M83" i="1"/>
  <c r="L83" i="1"/>
  <c r="C83" i="1"/>
  <c r="N82" i="1"/>
  <c r="M82" i="1"/>
  <c r="L82" i="1"/>
  <c r="C82" i="1"/>
  <c r="N81" i="1"/>
  <c r="M81" i="1"/>
  <c r="L81" i="1"/>
  <c r="C81" i="1"/>
  <c r="N80" i="1"/>
  <c r="M80" i="1"/>
  <c r="L80" i="1"/>
  <c r="C80" i="1"/>
  <c r="N79" i="1"/>
  <c r="M79" i="1"/>
  <c r="L79" i="1"/>
  <c r="C79" i="1"/>
  <c r="N78" i="1"/>
  <c r="M78" i="1"/>
  <c r="L78" i="1"/>
  <c r="C78" i="1"/>
  <c r="N77" i="1"/>
  <c r="M77" i="1"/>
  <c r="L77" i="1"/>
  <c r="C77" i="1"/>
  <c r="N76" i="1"/>
  <c r="M76" i="1"/>
  <c r="L76" i="1"/>
  <c r="C76" i="1"/>
  <c r="N75" i="1"/>
  <c r="M75" i="1"/>
  <c r="L75" i="1"/>
  <c r="C75" i="1"/>
  <c r="N74" i="1"/>
  <c r="M74" i="1"/>
  <c r="L74" i="1"/>
  <c r="C74" i="1"/>
  <c r="N73" i="1"/>
  <c r="M73" i="1"/>
  <c r="L73" i="1"/>
  <c r="C73" i="1"/>
  <c r="N72" i="1"/>
  <c r="M72" i="1"/>
  <c r="L72" i="1"/>
  <c r="C72" i="1"/>
  <c r="N71" i="1"/>
  <c r="M71" i="1"/>
  <c r="L71" i="1"/>
  <c r="C71" i="1"/>
  <c r="N70" i="1"/>
  <c r="M70" i="1"/>
  <c r="L70" i="1"/>
  <c r="C70" i="1"/>
  <c r="N69" i="1"/>
  <c r="M69" i="1"/>
  <c r="L69" i="1"/>
  <c r="C69" i="1"/>
  <c r="N68" i="1"/>
  <c r="M68" i="1"/>
  <c r="L68" i="1"/>
  <c r="C68" i="1"/>
  <c r="N67" i="1"/>
  <c r="M67" i="1"/>
  <c r="L67" i="1"/>
  <c r="C67" i="1"/>
  <c r="N66" i="1"/>
  <c r="M66" i="1"/>
  <c r="L66" i="1"/>
  <c r="C66" i="1"/>
  <c r="N65" i="1"/>
  <c r="M65" i="1"/>
  <c r="L65" i="1"/>
  <c r="C65" i="1"/>
  <c r="N64" i="1"/>
  <c r="M64" i="1"/>
  <c r="L64" i="1"/>
  <c r="C64" i="1"/>
  <c r="N63" i="1"/>
  <c r="M63" i="1"/>
  <c r="L63" i="1"/>
  <c r="C63" i="1"/>
  <c r="N62" i="1"/>
  <c r="M62" i="1"/>
  <c r="L62" i="1"/>
  <c r="C62" i="1"/>
  <c r="N61" i="1"/>
  <c r="M61" i="1"/>
  <c r="L61" i="1"/>
  <c r="C61" i="1"/>
  <c r="N60" i="1"/>
  <c r="M60" i="1"/>
  <c r="L60" i="1"/>
  <c r="C60" i="1"/>
  <c r="N59" i="1"/>
  <c r="M59" i="1"/>
  <c r="L59" i="1"/>
  <c r="C59" i="1"/>
  <c r="N58" i="1"/>
  <c r="M58" i="1"/>
  <c r="L58" i="1"/>
  <c r="C58" i="1"/>
  <c r="N57" i="1"/>
  <c r="M57" i="1"/>
  <c r="L57" i="1"/>
  <c r="C57" i="1"/>
  <c r="N56" i="1"/>
  <c r="M56" i="1"/>
  <c r="L56" i="1"/>
  <c r="C56" i="1"/>
  <c r="N55" i="1"/>
  <c r="M55" i="1"/>
  <c r="L55" i="1"/>
  <c r="C55" i="1"/>
  <c r="N54" i="1"/>
  <c r="M54" i="1"/>
  <c r="L54" i="1"/>
  <c r="C54" i="1"/>
  <c r="N53" i="1"/>
  <c r="M53" i="1"/>
  <c r="L53" i="1"/>
  <c r="C53" i="1"/>
  <c r="N52" i="1"/>
  <c r="M52" i="1"/>
  <c r="L52" i="1"/>
  <c r="C52" i="1"/>
  <c r="N51" i="1"/>
  <c r="M51" i="1"/>
  <c r="L51" i="1"/>
  <c r="C51" i="1"/>
  <c r="N50" i="1"/>
  <c r="M50" i="1"/>
  <c r="L50" i="1"/>
  <c r="C50" i="1"/>
  <c r="N49" i="1"/>
  <c r="M49" i="1"/>
  <c r="L49" i="1"/>
  <c r="C49" i="1"/>
  <c r="N48" i="1"/>
  <c r="M48" i="1"/>
  <c r="L48" i="1"/>
  <c r="C48" i="1"/>
  <c r="N47" i="1"/>
  <c r="M47" i="1"/>
  <c r="L47" i="1"/>
  <c r="C47" i="1"/>
  <c r="N46" i="1"/>
  <c r="M46" i="1"/>
  <c r="L46" i="1"/>
  <c r="C46" i="1"/>
  <c r="N45" i="1"/>
  <c r="M45" i="1"/>
  <c r="L45" i="1"/>
  <c r="C45" i="1"/>
  <c r="N44" i="1"/>
  <c r="M44" i="1"/>
  <c r="L44" i="1"/>
  <c r="C44" i="1"/>
  <c r="N43" i="1"/>
  <c r="M43" i="1"/>
  <c r="L43" i="1"/>
  <c r="C43" i="1"/>
  <c r="N42" i="1"/>
  <c r="M42" i="1"/>
  <c r="L42" i="1"/>
  <c r="C42" i="1"/>
  <c r="N41" i="1"/>
  <c r="M41" i="1"/>
  <c r="L41" i="1"/>
  <c r="C41" i="1"/>
  <c r="N40" i="1"/>
  <c r="M40" i="1"/>
  <c r="L40" i="1"/>
  <c r="C40" i="1"/>
  <c r="N39" i="1"/>
  <c r="M39" i="1"/>
  <c r="L39" i="1"/>
  <c r="C39" i="1"/>
  <c r="N38" i="1"/>
  <c r="M38" i="1"/>
  <c r="L38" i="1"/>
  <c r="C38" i="1"/>
  <c r="N37" i="1"/>
  <c r="M37" i="1"/>
  <c r="L37" i="1"/>
  <c r="C37" i="1"/>
  <c r="N36" i="1"/>
  <c r="M36" i="1"/>
  <c r="L36" i="1"/>
  <c r="C36" i="1"/>
  <c r="N35" i="1"/>
  <c r="M35" i="1"/>
  <c r="L35" i="1"/>
  <c r="C35" i="1"/>
  <c r="N34" i="1"/>
  <c r="M34" i="1"/>
  <c r="L34" i="1"/>
  <c r="C34" i="1"/>
  <c r="N33" i="1"/>
  <c r="M33" i="1"/>
  <c r="L33" i="1"/>
  <c r="C33" i="1"/>
  <c r="N32" i="1"/>
  <c r="M32" i="1"/>
  <c r="L32" i="1"/>
  <c r="C32" i="1"/>
  <c r="N31" i="1"/>
  <c r="M31" i="1"/>
  <c r="L31" i="1"/>
  <c r="C31" i="1"/>
  <c r="N30" i="1"/>
  <c r="M30" i="1"/>
  <c r="L30" i="1"/>
  <c r="C30" i="1"/>
  <c r="N29" i="1"/>
  <c r="M29" i="1"/>
  <c r="L29" i="1"/>
  <c r="C29" i="1"/>
  <c r="N28" i="1"/>
  <c r="M28" i="1"/>
  <c r="L28" i="1"/>
  <c r="C28" i="1"/>
  <c r="N27" i="1"/>
  <c r="M27" i="1"/>
  <c r="L27" i="1"/>
  <c r="C27" i="1"/>
  <c r="N26" i="1"/>
  <c r="M26" i="1"/>
  <c r="L26" i="1"/>
  <c r="C26" i="1"/>
  <c r="N25" i="1"/>
  <c r="M25" i="1"/>
  <c r="L25" i="1"/>
  <c r="C25" i="1"/>
  <c r="N24" i="1"/>
  <c r="M24" i="1"/>
  <c r="L24" i="1"/>
  <c r="C24" i="1"/>
  <c r="N23" i="1"/>
  <c r="M23" i="1"/>
  <c r="L23" i="1"/>
  <c r="C23" i="1"/>
  <c r="N22" i="1"/>
  <c r="M22" i="1"/>
  <c r="L22" i="1"/>
  <c r="C22" i="1"/>
  <c r="N21" i="1"/>
  <c r="M21" i="1"/>
  <c r="L21" i="1"/>
  <c r="C21" i="1"/>
  <c r="N20" i="1"/>
  <c r="M20" i="1"/>
  <c r="L20" i="1"/>
  <c r="C20" i="1"/>
  <c r="N19" i="1"/>
  <c r="M19" i="1"/>
  <c r="L19" i="1"/>
  <c r="C19" i="1"/>
  <c r="N18" i="1"/>
  <c r="M18" i="1"/>
  <c r="L18" i="1"/>
  <c r="C18" i="1"/>
  <c r="N17" i="1"/>
  <c r="M17" i="1"/>
  <c r="L17" i="1"/>
  <c r="C17" i="1"/>
  <c r="N16" i="1"/>
  <c r="M16" i="1"/>
  <c r="L16" i="1"/>
  <c r="C16" i="1"/>
  <c r="N15" i="1"/>
  <c r="M15" i="1"/>
  <c r="L15" i="1"/>
  <c r="C15" i="1"/>
  <c r="N14" i="1"/>
  <c r="M14" i="1"/>
  <c r="L14" i="1"/>
  <c r="C14" i="1"/>
  <c r="N13" i="1"/>
  <c r="M13" i="1"/>
  <c r="L13" i="1"/>
  <c r="C13" i="1"/>
  <c r="N12" i="1"/>
  <c r="M12" i="1"/>
  <c r="L12" i="1"/>
  <c r="C12" i="1"/>
  <c r="N11" i="1"/>
  <c r="M11" i="1"/>
  <c r="L11" i="1"/>
  <c r="C11" i="1"/>
  <c r="N10" i="1"/>
  <c r="M10" i="1"/>
  <c r="L10" i="1"/>
  <c r="C10" i="1"/>
  <c r="N9" i="1"/>
  <c r="M9" i="1"/>
  <c r="L9" i="1"/>
  <c r="C9" i="1"/>
  <c r="N8" i="1"/>
  <c r="M8" i="1"/>
  <c r="L8" i="1"/>
  <c r="C8" i="1"/>
  <c r="N7" i="1"/>
  <c r="M7" i="1"/>
  <c r="L7" i="1"/>
  <c r="C7" i="1"/>
  <c r="N6" i="1"/>
  <c r="M6" i="1"/>
  <c r="L6" i="1"/>
  <c r="C6" i="1"/>
  <c r="N5" i="1"/>
  <c r="M5" i="1"/>
  <c r="L5" i="1"/>
  <c r="C5" i="1"/>
  <c r="N4" i="1"/>
  <c r="M4" i="1"/>
  <c r="L4" i="1"/>
  <c r="C4" i="1"/>
  <c r="N3" i="1"/>
  <c r="M3" i="1"/>
  <c r="L3" i="1"/>
  <c r="C3" i="1"/>
  <c r="N2" i="1"/>
  <c r="M2" i="1"/>
  <c r="L2" i="1"/>
  <c r="C2" i="1"/>
</calcChain>
</file>

<file path=xl/sharedStrings.xml><?xml version="1.0" encoding="utf-8"?>
<sst xmlns="http://schemas.openxmlformats.org/spreadsheetml/2006/main" count="1034" uniqueCount="231">
  <si>
    <t>Alice</t>
  </si>
  <si>
    <t>Cebu</t>
  </si>
  <si>
    <t>Tablet</t>
  </si>
  <si>
    <t>user114@gmail.com</t>
  </si>
  <si>
    <t>Unknown</t>
  </si>
  <si>
    <t>Bob</t>
  </si>
  <si>
    <t>Phone</t>
  </si>
  <si>
    <t>user72@gmail.com</t>
  </si>
  <si>
    <t>Paid</t>
  </si>
  <si>
    <t>Evan</t>
  </si>
  <si>
    <t>user159@gmail.com</t>
  </si>
  <si>
    <t>Pending</t>
  </si>
  <si>
    <t>user36@gmail.com</t>
  </si>
  <si>
    <t>CagayandeOro</t>
  </si>
  <si>
    <t>Laptop</t>
  </si>
  <si>
    <t>user68@gmail.com</t>
  </si>
  <si>
    <t>user82@gmail.com</t>
  </si>
  <si>
    <t>Charlie</t>
  </si>
  <si>
    <t>user152@gmail.com</t>
  </si>
  <si>
    <t>user186@gmail.com</t>
  </si>
  <si>
    <t>Headset</t>
  </si>
  <si>
    <t>user86@gmail.com</t>
  </si>
  <si>
    <t>user129@gmail.com</t>
  </si>
  <si>
    <t>Manila</t>
  </si>
  <si>
    <t>user21@gmail.com</t>
  </si>
  <si>
    <t>Frank</t>
  </si>
  <si>
    <t>user30@gmail.com</t>
  </si>
  <si>
    <t>user4@gmail.com</t>
  </si>
  <si>
    <t>user28@gmail.com</t>
  </si>
  <si>
    <t>user2@gmail.com</t>
  </si>
  <si>
    <t>Dana</t>
  </si>
  <si>
    <t>5</t>
  </si>
  <si>
    <t>user38@gmail.com</t>
  </si>
  <si>
    <t>user100@gmail.com</t>
  </si>
  <si>
    <t>user44@gmail.com</t>
  </si>
  <si>
    <t>user109@gmail.com</t>
  </si>
  <si>
    <t>user192@gmail.com</t>
  </si>
  <si>
    <t>user101@gmail.com</t>
  </si>
  <si>
    <t>user195@gmail.com</t>
  </si>
  <si>
    <t>user77@gmail.com</t>
  </si>
  <si>
    <t>user148@gmail.com</t>
  </si>
  <si>
    <t>user118@gmail.com</t>
  </si>
  <si>
    <t>user184@gmail.com</t>
  </si>
  <si>
    <t>user61@gmail.com</t>
  </si>
  <si>
    <t>user41@gmail.com</t>
  </si>
  <si>
    <t>user80@gmail.com</t>
  </si>
  <si>
    <t>user1@gmail.com</t>
  </si>
  <si>
    <t>user84@gmail.com</t>
  </si>
  <si>
    <t>user126@gmail.com</t>
  </si>
  <si>
    <t>user183@gmail.com</t>
  </si>
  <si>
    <t>user171@gmail.com</t>
  </si>
  <si>
    <t>user149@gmail.com</t>
  </si>
  <si>
    <t>user56@gmail.com</t>
  </si>
  <si>
    <t>user115@gmail.com</t>
  </si>
  <si>
    <t>user146@gmail.com</t>
  </si>
  <si>
    <t>user57@gmail.com</t>
  </si>
  <si>
    <t>user165@gmail.com</t>
  </si>
  <si>
    <t>user96@gmail.com</t>
  </si>
  <si>
    <t>user93@gmail.com</t>
  </si>
  <si>
    <t>user90@gmail.com</t>
  </si>
  <si>
    <t>user157@gmail.com</t>
  </si>
  <si>
    <t>user63@gmail.com</t>
  </si>
  <si>
    <t>user76@gmail.com</t>
  </si>
  <si>
    <t>user140@gmail.com</t>
  </si>
  <si>
    <t>user147@gmail.com</t>
  </si>
  <si>
    <t>user188@gmail.com</t>
  </si>
  <si>
    <t>user9@gmail.com</t>
  </si>
  <si>
    <t>user164@gmail.com</t>
  </si>
  <si>
    <t>user70@gmail.com</t>
  </si>
  <si>
    <t>user125@gmail.com</t>
  </si>
  <si>
    <t>user59@gmail.com</t>
  </si>
  <si>
    <t>user55@gmail.com</t>
  </si>
  <si>
    <t>user162@gmail.com</t>
  </si>
  <si>
    <t>user113@gmail.com</t>
  </si>
  <si>
    <t>user35@gmail.com</t>
  </si>
  <si>
    <t>user75@gmail.com</t>
  </si>
  <si>
    <t>user13@gmail.com</t>
  </si>
  <si>
    <t>user26@gmail.com</t>
  </si>
  <si>
    <t>user34@gmail.com</t>
  </si>
  <si>
    <t>user85@gmail.com</t>
  </si>
  <si>
    <t>user154@gmail.com</t>
  </si>
  <si>
    <t>user122@gmail.com</t>
  </si>
  <si>
    <t>user136@gmail.com</t>
  </si>
  <si>
    <t>user137@gmail.com</t>
  </si>
  <si>
    <t>user198@gmail.com</t>
  </si>
  <si>
    <t>user167@gmail.com</t>
  </si>
  <si>
    <t>user78@gmail.com</t>
  </si>
  <si>
    <t>user31@gmail.com</t>
  </si>
  <si>
    <t>user58@gmail.com</t>
  </si>
  <si>
    <t>user189@gmail.com</t>
  </si>
  <si>
    <t>user197@gmail.com</t>
  </si>
  <si>
    <t>user111@gmail.com</t>
  </si>
  <si>
    <t>user81@gmail.com</t>
  </si>
  <si>
    <t>user108@gmail.com</t>
  </si>
  <si>
    <t>user3@gmail.com</t>
  </si>
  <si>
    <t>user25@gmail.com</t>
  </si>
  <si>
    <t>user89@gmail.com</t>
  </si>
  <si>
    <t>user174@gmail.com</t>
  </si>
  <si>
    <t>user87@gmail.com</t>
  </si>
  <si>
    <t>user169@gmail.com</t>
  </si>
  <si>
    <t>user135@gmail.com</t>
  </si>
  <si>
    <t>user105@gmail.com</t>
  </si>
  <si>
    <t>user150@gmail.com</t>
  </si>
  <si>
    <t>user24@gmail.com</t>
  </si>
  <si>
    <t>user158@gmail.com</t>
  </si>
  <si>
    <t>user18@gmail.com</t>
  </si>
  <si>
    <t>user172@gmail.com</t>
  </si>
  <si>
    <t>user66@gmail.com</t>
  </si>
  <si>
    <t>user116@gmail.com</t>
  </si>
  <si>
    <t>user144@gmail.com</t>
  </si>
  <si>
    <t>user99@gmail.com</t>
  </si>
  <si>
    <t>user27@gmail.com</t>
  </si>
  <si>
    <t>user187@gmail.com</t>
  </si>
  <si>
    <t>user15@gmail.com</t>
  </si>
  <si>
    <t>user14@gmail.com</t>
  </si>
  <si>
    <t>user46@gmail.com</t>
  </si>
  <si>
    <t>user10@gmail.com</t>
  </si>
  <si>
    <t>user53@gmail.com</t>
  </si>
  <si>
    <t>user12@gmail.com</t>
  </si>
  <si>
    <t>user120@gmail.com</t>
  </si>
  <si>
    <t>user151@gmail.com</t>
  </si>
  <si>
    <t>user39@gmail.com</t>
  </si>
  <si>
    <t>user193@gmail.com</t>
  </si>
  <si>
    <t>user145@gmail.com</t>
  </si>
  <si>
    <t>user50@gmail.com</t>
  </si>
  <si>
    <t>user73@gmail.com</t>
  </si>
  <si>
    <t>user163@gmail.com</t>
  </si>
  <si>
    <t>user79@gmail.com</t>
  </si>
  <si>
    <t>user143@gmail.com</t>
  </si>
  <si>
    <t>user185@gmail.com</t>
  </si>
  <si>
    <t>user48@gmail.com</t>
  </si>
  <si>
    <t>user168@gmail.com</t>
  </si>
  <si>
    <t>user107@gmail.com</t>
  </si>
  <si>
    <t>user11@gmail.com</t>
  </si>
  <si>
    <t>user160@gmail.com</t>
  </si>
  <si>
    <t>user161@gmail.com</t>
  </si>
  <si>
    <t>user19@gmail.com</t>
  </si>
  <si>
    <t>user8@gmail.com</t>
  </si>
  <si>
    <t>user106@gmail.com</t>
  </si>
  <si>
    <t>user166@gmail.com</t>
  </si>
  <si>
    <t>user177@gmail.com</t>
  </si>
  <si>
    <t>user49@gmail.com</t>
  </si>
  <si>
    <t>user104@gmail.com</t>
  </si>
  <si>
    <t>user173@gmail.com</t>
  </si>
  <si>
    <t>user37@gmail.com</t>
  </si>
  <si>
    <t>user62@gmail.com</t>
  </si>
  <si>
    <t>user98@gmail.com</t>
  </si>
  <si>
    <t>user142@gmail.com</t>
  </si>
  <si>
    <t>user176@gmail.com</t>
  </si>
  <si>
    <t>user181@gmail.com</t>
  </si>
  <si>
    <t>user138@gmail.com</t>
  </si>
  <si>
    <t>user130@gmail.com</t>
  </si>
  <si>
    <t>user52@gmail.com</t>
  </si>
  <si>
    <t>user33@gmail.com</t>
  </si>
  <si>
    <t>user139@gmail.com</t>
  </si>
  <si>
    <t>user20@gmail.com</t>
  </si>
  <si>
    <t>user182@gmail.com</t>
  </si>
  <si>
    <t>user91@gmail.com</t>
  </si>
  <si>
    <t>user74@gmail.com</t>
  </si>
  <si>
    <t>user178@gmail.com</t>
  </si>
  <si>
    <t>user134@gmail.com</t>
  </si>
  <si>
    <t>user94@gmail.com</t>
  </si>
  <si>
    <t>user97@gmail.com</t>
  </si>
  <si>
    <t>user124@gmail.com</t>
  </si>
  <si>
    <t>user190@gmail.com</t>
  </si>
  <si>
    <t>user92@gmail.com</t>
  </si>
  <si>
    <t>user153@gmail.com</t>
  </si>
  <si>
    <t>user7@gmail.com</t>
  </si>
  <si>
    <t>user83@gmail.com</t>
  </si>
  <si>
    <t>user112@gmail.com</t>
  </si>
  <si>
    <t>user69@gmail.com</t>
  </si>
  <si>
    <t>user110@gmail.com</t>
  </si>
  <si>
    <t>user196@gmail.com</t>
  </si>
  <si>
    <t>user121@gmail.com</t>
  </si>
  <si>
    <t>user6@gmail.com</t>
  </si>
  <si>
    <t>user0@gmail.com</t>
  </si>
  <si>
    <t>user123@gmail.com</t>
  </si>
  <si>
    <t>user88@gmail.com</t>
  </si>
  <si>
    <t>user29@gmail.com</t>
  </si>
  <si>
    <t>user102@gmail.com</t>
  </si>
  <si>
    <t>user119@gmail.com</t>
  </si>
  <si>
    <t>user132@gmail.com</t>
  </si>
  <si>
    <t>user23@gmail.com</t>
  </si>
  <si>
    <t>user51@gmail.com</t>
  </si>
  <si>
    <t>user127@gmail.com</t>
  </si>
  <si>
    <t>user141@gmail.com</t>
  </si>
  <si>
    <t>user54@gmail.com</t>
  </si>
  <si>
    <t>user67@gmail.com</t>
  </si>
  <si>
    <t>user64@gmail.com</t>
  </si>
  <si>
    <t>user194@gmail.com</t>
  </si>
  <si>
    <t>user45@gmail.com</t>
  </si>
  <si>
    <t>user42@gmail.com</t>
  </si>
  <si>
    <t>user22@gmail.com</t>
  </si>
  <si>
    <t>user17@gmail.com</t>
  </si>
  <si>
    <t>user47@gmail.com</t>
  </si>
  <si>
    <t>user180@gmail.com</t>
  </si>
  <si>
    <t>user71@gmail.com</t>
  </si>
  <si>
    <t>user131@gmail.com</t>
  </si>
  <si>
    <t>user155@gmail.com</t>
  </si>
  <si>
    <t>user60@gmail.com</t>
  </si>
  <si>
    <t>user32@gmail.com</t>
  </si>
  <si>
    <t>user191@gmail.com</t>
  </si>
  <si>
    <t>user117@gmail.com</t>
  </si>
  <si>
    <t>user95@gmail.com</t>
  </si>
  <si>
    <t>user179@gmail.com</t>
  </si>
  <si>
    <t>user5@gmail.com</t>
  </si>
  <si>
    <t>user65@gmail.com</t>
  </si>
  <si>
    <t>user40@gmail.com</t>
  </si>
  <si>
    <t>user128@gmail.com</t>
  </si>
  <si>
    <t>user133@gmail.com</t>
  </si>
  <si>
    <t>user156@gmail.com</t>
  </si>
  <si>
    <t>user175@gmail.com</t>
  </si>
  <si>
    <t>user199@gmail.com</t>
  </si>
  <si>
    <t>user170@gmail.com</t>
  </si>
  <si>
    <t>user103@gmail.com</t>
  </si>
  <si>
    <t>user43@gmail.com</t>
  </si>
  <si>
    <t>user16@gmail.com</t>
  </si>
  <si>
    <t>Customer_ID</t>
  </si>
  <si>
    <t>Name</t>
  </si>
  <si>
    <t>Column1</t>
  </si>
  <si>
    <t>Age</t>
  </si>
  <si>
    <t>City</t>
  </si>
  <si>
    <t>Product</t>
  </si>
  <si>
    <t>Quantity</t>
  </si>
  <si>
    <t>Price</t>
  </si>
  <si>
    <t>Column2</t>
  </si>
  <si>
    <t>Email</t>
  </si>
  <si>
    <t>Status</t>
  </si>
  <si>
    <t>Total_Amount</t>
  </si>
  <si>
    <t>Purchase_Month</t>
  </si>
  <si>
    <t>Is_Paid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</si>
</sst>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55077-C101-4493-873C-AC69AF059D74}" name="Table1" displayName="Table1" ref="A1:N201" totalsRowShown="0" headerRowDxfId="7" headerRowBorderDxfId="5" tableBorderDxfId="6">
  <autoFilter ref="A1:N201" xr:uid="{A7055077-C101-4493-873C-AC69AF059D74}"/>
  <sortState xmlns:xlrd2="http://schemas.microsoft.com/office/spreadsheetml/2017/richdata2" ref="A2:K201">
    <sortCondition ref="H1:H201"/>
  </sortState>
  <tableColumns count="14">
    <tableColumn id="1" xr3:uid="{A81DDC91-993A-4EAB-99B5-CAEFA7056B77}" name="Customer_ID"/>
    <tableColumn id="2" xr3:uid="{9779AB98-6FD6-430C-9562-E8F64875C0C9}" name="Name"/>
    <tableColumn id="3" xr3:uid="{9443DECF-9B5B-440F-9288-50E3FA75D948}" name="Column1">
      <calculatedColumnFormula>PROPER(TRIM(B2))</calculatedColumnFormula>
    </tableColumn>
    <tableColumn id="4" xr3:uid="{B7058816-DDF8-4F66-9004-FAFC12AD258E}" name="Age"/>
    <tableColumn id="5" xr3:uid="{6D4B5A88-1BA1-4224-A646-851BBC114A7D}" name="City"/>
    <tableColumn id="6" xr3:uid="{5AA8F56D-2535-4413-A3B7-B22CEED8B247}" name="Product"/>
    <tableColumn id="7" xr3:uid="{B59FCFDC-C606-4469-8733-B8A5800CA9ED}" name="Quantity" dataDxfId="4"/>
    <tableColumn id="8" xr3:uid="{84660E53-E81C-4633-BF1E-EC946D2CCA23}" name="Price"/>
    <tableColumn id="9" xr3:uid="{069CA852-7EA9-4BC9-8CE7-C7E190E7A83E}" name="Column2" dataDxfId="3"/>
    <tableColumn id="10" xr3:uid="{EA7B8623-D6CA-4383-B6D8-B4142D3748AC}" name="Email"/>
    <tableColumn id="11" xr3:uid="{FBD02F70-14AF-4495-BECA-AC173B28F319}" name="Status"/>
    <tableColumn id="14" xr3:uid="{1CCC7B19-5707-4EA5-9A0B-CA1ED8D541DD}" name="Total_Amount" dataDxfId="2">
      <calculatedColumnFormula>G2*H2</calculatedColumnFormula>
    </tableColumn>
    <tableColumn id="15" xr3:uid="{CFE6370D-45C8-409D-81DE-921050E30F9B}" name="Purchase_Month" dataDxfId="1">
      <calculatedColumnFormula>MONTH(I2)</calculatedColumnFormula>
    </tableColumn>
    <tableColumn id="16" xr3:uid="{1006C7CC-AD71-447B-9A84-E2DE24780013}" name="Is_Paid" dataDxfId="0">
      <calculatedColumnFormula>IF(K2="Paid", 1, 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9936-B95C-4199-988D-929F269575F4}">
  <dimension ref="A1:N211"/>
  <sheetViews>
    <sheetView tabSelected="1" workbookViewId="0">
      <selection activeCell="P9" sqref="P9"/>
    </sheetView>
  </sheetViews>
  <sheetFormatPr defaultRowHeight="14.4" x14ac:dyDescent="0.3"/>
  <cols>
    <col min="1" max="1" width="16.33203125" bestFit="1" customWidth="1"/>
    <col min="2" max="2" width="10.44140625" bestFit="1" customWidth="1"/>
    <col min="3" max="3" width="13" bestFit="1" customWidth="1"/>
    <col min="4" max="4" width="8.6640625" bestFit="1" customWidth="1"/>
    <col min="5" max="5" width="12.88671875" bestFit="1" customWidth="1"/>
    <col min="6" max="6" width="12.109375" bestFit="1" customWidth="1"/>
    <col min="7" max="7" width="8.33203125" style="4" bestFit="1" customWidth="1"/>
    <col min="8" max="8" width="9.5546875" bestFit="1" customWidth="1"/>
    <col min="9" max="9" width="13" style="5" bestFit="1" customWidth="1"/>
    <col min="10" max="10" width="17.88671875" bestFit="1" customWidth="1"/>
    <col min="11" max="11" width="10.6640625" bestFit="1" customWidth="1"/>
    <col min="12" max="12" width="17.6640625" bestFit="1" customWidth="1"/>
    <col min="13" max="13" width="20" bestFit="1" customWidth="1"/>
    <col min="14" max="14" width="11.44140625" bestFit="1" customWidth="1"/>
  </cols>
  <sheetData>
    <row r="1" spans="1:14" x14ac:dyDescent="0.3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2" t="s">
        <v>223</v>
      </c>
      <c r="H1" s="1" t="s">
        <v>224</v>
      </c>
      <c r="I1" s="3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</row>
    <row r="2" spans="1:14" x14ac:dyDescent="0.3">
      <c r="A2">
        <v>1035</v>
      </c>
      <c r="B2" t="s">
        <v>0</v>
      </c>
      <c r="C2" t="str">
        <f>PROPER(TRIM(B2))</f>
        <v>Alice</v>
      </c>
      <c r="D2">
        <v>20</v>
      </c>
      <c r="E2" t="s">
        <v>1</v>
      </c>
      <c r="F2" t="s">
        <v>2</v>
      </c>
      <c r="G2" s="4">
        <v>50</v>
      </c>
      <c r="H2">
        <v>50.46</v>
      </c>
      <c r="I2" s="5">
        <v>45395</v>
      </c>
      <c r="J2" t="s">
        <v>3</v>
      </c>
      <c r="K2" t="s">
        <v>4</v>
      </c>
      <c r="L2">
        <f t="shared" ref="L2:L65" si="0">G2*H2</f>
        <v>2523</v>
      </c>
      <c r="M2">
        <f t="shared" ref="M2:M65" si="1">MONTH(I2)</f>
        <v>4</v>
      </c>
      <c r="N2">
        <f t="shared" ref="N2:N65" si="2">IF(K2="Paid", 1, 0)</f>
        <v>0</v>
      </c>
    </row>
    <row r="3" spans="1:14" x14ac:dyDescent="0.3">
      <c r="A3">
        <v>1015</v>
      </c>
      <c r="B3" t="s">
        <v>5</v>
      </c>
      <c r="C3" t="str">
        <f>PROPER(TRIM(B3))</f>
        <v>Bob</v>
      </c>
      <c r="D3">
        <v>22</v>
      </c>
      <c r="E3" t="s">
        <v>1</v>
      </c>
      <c r="F3" t="s">
        <v>6</v>
      </c>
      <c r="G3" s="4">
        <v>5</v>
      </c>
      <c r="H3">
        <v>50.5</v>
      </c>
      <c r="I3" s="5">
        <v>45357</v>
      </c>
      <c r="J3" t="s">
        <v>7</v>
      </c>
      <c r="K3" t="s">
        <v>8</v>
      </c>
      <c r="L3">
        <f t="shared" si="0"/>
        <v>252.5</v>
      </c>
      <c r="M3">
        <f t="shared" si="1"/>
        <v>3</v>
      </c>
      <c r="N3">
        <f t="shared" si="2"/>
        <v>1</v>
      </c>
    </row>
    <row r="4" spans="1:14" x14ac:dyDescent="0.3">
      <c r="A4">
        <v>1098</v>
      </c>
      <c r="B4" t="s">
        <v>9</v>
      </c>
      <c r="C4" t="str">
        <f>PROPER(TRIM(B4))</f>
        <v>Evan</v>
      </c>
      <c r="D4">
        <v>23</v>
      </c>
      <c r="E4" t="s">
        <v>1</v>
      </c>
      <c r="F4" t="s">
        <v>6</v>
      </c>
      <c r="G4" s="4">
        <v>5</v>
      </c>
      <c r="H4">
        <v>50.55</v>
      </c>
      <c r="I4" s="5">
        <v>45436</v>
      </c>
      <c r="J4" t="s">
        <v>10</v>
      </c>
      <c r="K4" t="s">
        <v>11</v>
      </c>
      <c r="L4">
        <f t="shared" si="0"/>
        <v>252.75</v>
      </c>
      <c r="M4">
        <f t="shared" si="1"/>
        <v>5</v>
      </c>
      <c r="N4">
        <f t="shared" si="2"/>
        <v>0</v>
      </c>
    </row>
    <row r="5" spans="1:14" x14ac:dyDescent="0.3">
      <c r="A5">
        <v>1012</v>
      </c>
      <c r="B5" t="s">
        <v>0</v>
      </c>
      <c r="C5" t="str">
        <f>PROPER(TRIM(B5))</f>
        <v>Alice</v>
      </c>
      <c r="D5">
        <v>22</v>
      </c>
      <c r="E5" t="s">
        <v>1</v>
      </c>
      <c r="F5" t="s">
        <v>2</v>
      </c>
      <c r="G5" s="4">
        <v>5</v>
      </c>
      <c r="H5">
        <v>52.29</v>
      </c>
      <c r="I5" s="5">
        <v>45324</v>
      </c>
      <c r="J5" t="s">
        <v>12</v>
      </c>
      <c r="K5" t="s">
        <v>11</v>
      </c>
      <c r="L5">
        <f t="shared" si="0"/>
        <v>261.45</v>
      </c>
      <c r="M5">
        <f t="shared" si="1"/>
        <v>2</v>
      </c>
      <c r="N5">
        <f t="shared" si="2"/>
        <v>0</v>
      </c>
    </row>
    <row r="6" spans="1:14" x14ac:dyDescent="0.3">
      <c r="A6">
        <v>1084</v>
      </c>
      <c r="B6" t="s">
        <v>9</v>
      </c>
      <c r="C6" t="str">
        <f>PROPER(TRIM(B6))</f>
        <v>Evan</v>
      </c>
      <c r="D6">
        <v>20</v>
      </c>
      <c r="E6" t="s">
        <v>13</v>
      </c>
      <c r="F6" s="6" t="s">
        <v>14</v>
      </c>
      <c r="G6" s="4">
        <v>1</v>
      </c>
      <c r="H6">
        <v>52.32</v>
      </c>
      <c r="I6" s="5">
        <v>45325</v>
      </c>
      <c r="J6" t="s">
        <v>15</v>
      </c>
      <c r="K6" t="s">
        <v>8</v>
      </c>
      <c r="L6">
        <f t="shared" si="0"/>
        <v>52.32</v>
      </c>
      <c r="M6">
        <f t="shared" si="1"/>
        <v>2</v>
      </c>
      <c r="N6">
        <f t="shared" si="2"/>
        <v>1</v>
      </c>
    </row>
    <row r="7" spans="1:14" x14ac:dyDescent="0.3">
      <c r="A7">
        <v>1034</v>
      </c>
      <c r="B7" t="s">
        <v>0</v>
      </c>
      <c r="C7" t="str">
        <f>PROPER(TRIM(B7))</f>
        <v>Alice</v>
      </c>
      <c r="D7">
        <v>23</v>
      </c>
      <c r="E7" t="s">
        <v>13</v>
      </c>
      <c r="F7" s="6" t="s">
        <v>14</v>
      </c>
      <c r="G7" s="4">
        <v>3</v>
      </c>
      <c r="H7">
        <v>54.08</v>
      </c>
      <c r="I7" s="5">
        <v>45366</v>
      </c>
      <c r="J7" t="s">
        <v>16</v>
      </c>
      <c r="K7" t="s">
        <v>8</v>
      </c>
      <c r="L7">
        <f t="shared" si="0"/>
        <v>162.24</v>
      </c>
      <c r="M7">
        <f t="shared" si="1"/>
        <v>3</v>
      </c>
      <c r="N7">
        <f t="shared" si="2"/>
        <v>1</v>
      </c>
    </row>
    <row r="8" spans="1:14" x14ac:dyDescent="0.3">
      <c r="A8">
        <v>1060</v>
      </c>
      <c r="B8" t="s">
        <v>17</v>
      </c>
      <c r="C8" t="str">
        <f>PROPER(TRIM(B8))</f>
        <v>Charlie</v>
      </c>
      <c r="D8">
        <v>20</v>
      </c>
      <c r="E8" t="s">
        <v>13</v>
      </c>
      <c r="F8" t="s">
        <v>2</v>
      </c>
      <c r="G8" s="4">
        <v>2</v>
      </c>
      <c r="H8">
        <v>58.04</v>
      </c>
      <c r="I8" s="5">
        <v>45430</v>
      </c>
      <c r="J8" t="s">
        <v>18</v>
      </c>
      <c r="K8" t="s">
        <v>8</v>
      </c>
      <c r="L8">
        <f t="shared" si="0"/>
        <v>116.08</v>
      </c>
      <c r="M8">
        <f t="shared" si="1"/>
        <v>5</v>
      </c>
      <c r="N8">
        <f t="shared" si="2"/>
        <v>1</v>
      </c>
    </row>
    <row r="9" spans="1:14" x14ac:dyDescent="0.3">
      <c r="A9">
        <v>1035</v>
      </c>
      <c r="B9" t="s">
        <v>9</v>
      </c>
      <c r="C9" t="str">
        <f>PROPER(TRIM(B9))</f>
        <v>Evan</v>
      </c>
      <c r="D9">
        <v>24</v>
      </c>
      <c r="E9" t="s">
        <v>13</v>
      </c>
      <c r="F9" t="s">
        <v>2</v>
      </c>
      <c r="G9" s="4">
        <v>5</v>
      </c>
      <c r="H9">
        <v>58.27</v>
      </c>
      <c r="I9" s="5">
        <v>45461</v>
      </c>
      <c r="J9" t="s">
        <v>19</v>
      </c>
      <c r="K9" t="s">
        <v>11</v>
      </c>
      <c r="L9">
        <f t="shared" si="0"/>
        <v>291.35000000000002</v>
      </c>
      <c r="M9">
        <f t="shared" si="1"/>
        <v>6</v>
      </c>
      <c r="N9">
        <f t="shared" si="2"/>
        <v>0</v>
      </c>
    </row>
    <row r="10" spans="1:14" x14ac:dyDescent="0.3">
      <c r="A10">
        <v>1017</v>
      </c>
      <c r="B10" t="s">
        <v>0</v>
      </c>
      <c r="C10" t="str">
        <f>PROPER(TRIM(B10))</f>
        <v>Alice</v>
      </c>
      <c r="D10">
        <v>23</v>
      </c>
      <c r="E10" t="s">
        <v>13</v>
      </c>
      <c r="F10" t="s">
        <v>20</v>
      </c>
      <c r="G10" s="4">
        <v>5</v>
      </c>
      <c r="H10">
        <v>58.29</v>
      </c>
      <c r="I10" s="5">
        <v>45370</v>
      </c>
      <c r="J10" t="s">
        <v>21</v>
      </c>
      <c r="K10" t="s">
        <v>4</v>
      </c>
      <c r="L10">
        <f t="shared" si="0"/>
        <v>291.45</v>
      </c>
      <c r="M10">
        <f t="shared" si="1"/>
        <v>3</v>
      </c>
      <c r="N10">
        <f t="shared" si="2"/>
        <v>0</v>
      </c>
    </row>
    <row r="11" spans="1:14" x14ac:dyDescent="0.3">
      <c r="A11">
        <v>1091</v>
      </c>
      <c r="B11" t="s">
        <v>9</v>
      </c>
      <c r="C11" t="str">
        <f>PROPER(TRIM(B11))</f>
        <v>Evan</v>
      </c>
      <c r="D11">
        <v>23</v>
      </c>
      <c r="E11" t="s">
        <v>13</v>
      </c>
      <c r="F11" t="s">
        <v>20</v>
      </c>
      <c r="G11" s="4">
        <v>1</v>
      </c>
      <c r="H11">
        <v>64.09</v>
      </c>
      <c r="I11" s="5">
        <v>45409</v>
      </c>
      <c r="J11" t="s">
        <v>22</v>
      </c>
      <c r="K11" t="s">
        <v>4</v>
      </c>
      <c r="L11">
        <f t="shared" si="0"/>
        <v>64.09</v>
      </c>
      <c r="M11">
        <f t="shared" si="1"/>
        <v>4</v>
      </c>
      <c r="N11">
        <f t="shared" si="2"/>
        <v>0</v>
      </c>
    </row>
    <row r="12" spans="1:14" x14ac:dyDescent="0.3">
      <c r="A12">
        <v>1023</v>
      </c>
      <c r="B12" t="s">
        <v>0</v>
      </c>
      <c r="C12" t="str">
        <f>PROPER(TRIM(B12))</f>
        <v>Alice</v>
      </c>
      <c r="D12">
        <v>21</v>
      </c>
      <c r="E12" t="s">
        <v>23</v>
      </c>
      <c r="F12" t="s">
        <v>20</v>
      </c>
      <c r="G12" s="4">
        <v>10</v>
      </c>
      <c r="H12">
        <v>65.69</v>
      </c>
      <c r="I12" s="5">
        <v>45311</v>
      </c>
      <c r="J12" t="s">
        <v>24</v>
      </c>
      <c r="K12" t="s">
        <v>11</v>
      </c>
      <c r="L12">
        <f t="shared" si="0"/>
        <v>656.9</v>
      </c>
      <c r="M12">
        <f t="shared" si="1"/>
        <v>1</v>
      </c>
      <c r="N12">
        <f t="shared" si="2"/>
        <v>0</v>
      </c>
    </row>
    <row r="13" spans="1:14" x14ac:dyDescent="0.3">
      <c r="A13">
        <v>1022</v>
      </c>
      <c r="B13" t="s">
        <v>25</v>
      </c>
      <c r="C13" t="str">
        <f>PROPER(TRIM(B13))</f>
        <v>Frank</v>
      </c>
      <c r="D13">
        <v>21</v>
      </c>
      <c r="E13" t="s">
        <v>1</v>
      </c>
      <c r="F13" t="s">
        <v>6</v>
      </c>
      <c r="G13" s="4">
        <v>10</v>
      </c>
      <c r="H13">
        <v>65.94</v>
      </c>
      <c r="I13" s="5">
        <v>45319</v>
      </c>
      <c r="J13" t="s">
        <v>26</v>
      </c>
      <c r="K13" t="s">
        <v>11</v>
      </c>
      <c r="L13">
        <f t="shared" si="0"/>
        <v>659.4</v>
      </c>
      <c r="M13">
        <f t="shared" si="1"/>
        <v>1</v>
      </c>
      <c r="N13">
        <f t="shared" si="2"/>
        <v>0</v>
      </c>
    </row>
    <row r="14" spans="1:14" x14ac:dyDescent="0.3">
      <c r="A14">
        <v>1007</v>
      </c>
      <c r="B14" t="s">
        <v>25</v>
      </c>
      <c r="C14" t="str">
        <f>PROPER(TRIM(B14))</f>
        <v>Frank</v>
      </c>
      <c r="D14">
        <v>24</v>
      </c>
      <c r="E14" t="s">
        <v>23</v>
      </c>
      <c r="F14" t="s">
        <v>2</v>
      </c>
      <c r="G14" s="4">
        <v>10</v>
      </c>
      <c r="H14">
        <v>66.53</v>
      </c>
      <c r="I14" s="5">
        <v>45295</v>
      </c>
      <c r="J14" t="s">
        <v>27</v>
      </c>
      <c r="K14" t="s">
        <v>11</v>
      </c>
      <c r="L14">
        <f t="shared" si="0"/>
        <v>665.3</v>
      </c>
      <c r="M14">
        <f t="shared" si="1"/>
        <v>1</v>
      </c>
      <c r="N14">
        <f t="shared" si="2"/>
        <v>0</v>
      </c>
    </row>
    <row r="15" spans="1:14" x14ac:dyDescent="0.3">
      <c r="A15">
        <v>1095</v>
      </c>
      <c r="B15" t="s">
        <v>17</v>
      </c>
      <c r="C15" t="str">
        <f>PROPER(TRIM(B15))</f>
        <v>Charlie</v>
      </c>
      <c r="D15">
        <v>20</v>
      </c>
      <c r="E15" t="s">
        <v>23</v>
      </c>
      <c r="F15" t="s">
        <v>20</v>
      </c>
      <c r="G15" s="4">
        <v>5</v>
      </c>
      <c r="H15">
        <v>69.97</v>
      </c>
      <c r="I15" s="5">
        <v>45317</v>
      </c>
      <c r="J15" t="s">
        <v>28</v>
      </c>
      <c r="K15" t="s">
        <v>8</v>
      </c>
      <c r="L15">
        <f t="shared" si="0"/>
        <v>349.85</v>
      </c>
      <c r="M15">
        <f t="shared" si="1"/>
        <v>1</v>
      </c>
      <c r="N15">
        <f t="shared" si="2"/>
        <v>1</v>
      </c>
    </row>
    <row r="16" spans="1:14" x14ac:dyDescent="0.3">
      <c r="A16">
        <v>1080</v>
      </c>
      <c r="B16" t="s">
        <v>17</v>
      </c>
      <c r="C16" t="str">
        <f>PROPER(TRIM(B16))</f>
        <v>Charlie</v>
      </c>
      <c r="D16">
        <v>20</v>
      </c>
      <c r="E16" t="s">
        <v>1</v>
      </c>
      <c r="F16" t="s">
        <v>20</v>
      </c>
      <c r="G16" s="4">
        <v>5</v>
      </c>
      <c r="H16">
        <v>71.13</v>
      </c>
      <c r="I16" s="5">
        <v>45293</v>
      </c>
      <c r="J16" t="s">
        <v>29</v>
      </c>
      <c r="K16" t="s">
        <v>8</v>
      </c>
      <c r="L16">
        <f t="shared" si="0"/>
        <v>355.65</v>
      </c>
      <c r="M16">
        <f t="shared" si="1"/>
        <v>1</v>
      </c>
      <c r="N16">
        <f t="shared" si="2"/>
        <v>1</v>
      </c>
    </row>
    <row r="17" spans="1:14" x14ac:dyDescent="0.3">
      <c r="A17">
        <v>1088</v>
      </c>
      <c r="B17" t="s">
        <v>30</v>
      </c>
      <c r="C17" t="str">
        <f>PROPER(TRIM(B17))</f>
        <v>Dana</v>
      </c>
      <c r="D17">
        <v>20</v>
      </c>
      <c r="E17" t="s">
        <v>23</v>
      </c>
      <c r="F17" t="s">
        <v>2</v>
      </c>
      <c r="G17" s="4" t="s">
        <v>31</v>
      </c>
      <c r="H17">
        <v>71.95</v>
      </c>
      <c r="I17" s="5">
        <v>45326</v>
      </c>
      <c r="J17" t="s">
        <v>32</v>
      </c>
      <c r="K17" t="s">
        <v>4</v>
      </c>
      <c r="L17">
        <f t="shared" si="0"/>
        <v>359.75</v>
      </c>
      <c r="M17">
        <f t="shared" si="1"/>
        <v>2</v>
      </c>
      <c r="N17">
        <f t="shared" si="2"/>
        <v>0</v>
      </c>
    </row>
    <row r="18" spans="1:14" x14ac:dyDescent="0.3">
      <c r="A18">
        <v>1065</v>
      </c>
      <c r="B18" t="s">
        <v>5</v>
      </c>
      <c r="C18" t="str">
        <f>PROPER(TRIM(B18))</f>
        <v>Bob</v>
      </c>
      <c r="D18">
        <v>22</v>
      </c>
      <c r="E18" t="s">
        <v>1</v>
      </c>
      <c r="F18" t="s">
        <v>20</v>
      </c>
      <c r="G18" s="4">
        <v>10</v>
      </c>
      <c r="H18">
        <v>76.06</v>
      </c>
      <c r="I18" s="5">
        <v>45382</v>
      </c>
      <c r="J18" t="s">
        <v>33</v>
      </c>
      <c r="K18" t="s">
        <v>11</v>
      </c>
      <c r="L18">
        <f t="shared" si="0"/>
        <v>760.6</v>
      </c>
      <c r="M18">
        <f t="shared" si="1"/>
        <v>3</v>
      </c>
      <c r="N18">
        <f t="shared" si="2"/>
        <v>0</v>
      </c>
    </row>
    <row r="19" spans="1:14" x14ac:dyDescent="0.3">
      <c r="A19">
        <v>1088</v>
      </c>
      <c r="B19" t="s">
        <v>17</v>
      </c>
      <c r="C19" t="str">
        <f>PROPER(TRIM(B19))</f>
        <v>Charlie</v>
      </c>
      <c r="D19">
        <v>21</v>
      </c>
      <c r="E19" t="s">
        <v>13</v>
      </c>
      <c r="F19" t="s">
        <v>14</v>
      </c>
      <c r="G19" s="4">
        <v>10</v>
      </c>
      <c r="H19">
        <v>77.680000000000007</v>
      </c>
      <c r="I19" s="5">
        <v>45332</v>
      </c>
      <c r="J19" t="s">
        <v>34</v>
      </c>
      <c r="K19" t="s">
        <v>4</v>
      </c>
      <c r="L19">
        <f t="shared" si="0"/>
        <v>776.80000000000007</v>
      </c>
      <c r="M19">
        <f t="shared" si="1"/>
        <v>2</v>
      </c>
      <c r="N19">
        <f t="shared" si="2"/>
        <v>0</v>
      </c>
    </row>
    <row r="20" spans="1:14" x14ac:dyDescent="0.3">
      <c r="A20">
        <v>1016</v>
      </c>
      <c r="B20" t="s">
        <v>0</v>
      </c>
      <c r="C20" t="str">
        <f>PROPER(TRIM(B20))</f>
        <v>Alice</v>
      </c>
      <c r="D20">
        <v>23</v>
      </c>
      <c r="E20" t="s">
        <v>1</v>
      </c>
      <c r="F20" t="s">
        <v>2</v>
      </c>
      <c r="G20" s="4">
        <v>50</v>
      </c>
      <c r="H20">
        <v>79.53</v>
      </c>
      <c r="I20" s="5">
        <v>45391</v>
      </c>
      <c r="J20" t="s">
        <v>35</v>
      </c>
      <c r="K20" t="s">
        <v>11</v>
      </c>
      <c r="L20">
        <f t="shared" si="0"/>
        <v>3976.5</v>
      </c>
      <c r="M20">
        <f t="shared" si="1"/>
        <v>4</v>
      </c>
      <c r="N20">
        <f t="shared" si="2"/>
        <v>0</v>
      </c>
    </row>
    <row r="21" spans="1:14" x14ac:dyDescent="0.3">
      <c r="A21">
        <v>1027</v>
      </c>
      <c r="B21" t="s">
        <v>30</v>
      </c>
      <c r="C21" t="str">
        <f>PROPER(TRIM(B21))</f>
        <v>Dana</v>
      </c>
      <c r="D21">
        <v>21</v>
      </c>
      <c r="E21" t="s">
        <v>1</v>
      </c>
      <c r="F21" t="s">
        <v>14</v>
      </c>
      <c r="G21" s="4">
        <v>10</v>
      </c>
      <c r="H21">
        <v>82.59</v>
      </c>
      <c r="I21" s="5">
        <v>45466</v>
      </c>
      <c r="J21" t="s">
        <v>36</v>
      </c>
      <c r="K21" t="s">
        <v>8</v>
      </c>
      <c r="L21">
        <f t="shared" si="0"/>
        <v>825.90000000000009</v>
      </c>
      <c r="M21">
        <f t="shared" si="1"/>
        <v>6</v>
      </c>
      <c r="N21">
        <f t="shared" si="2"/>
        <v>1</v>
      </c>
    </row>
    <row r="22" spans="1:14" x14ac:dyDescent="0.3">
      <c r="A22">
        <v>1004</v>
      </c>
      <c r="B22" t="s">
        <v>9</v>
      </c>
      <c r="C22" t="str">
        <f>PROPER(TRIM(B22))</f>
        <v>Evan</v>
      </c>
      <c r="D22">
        <v>24</v>
      </c>
      <c r="E22" t="s">
        <v>1</v>
      </c>
      <c r="F22" t="s">
        <v>20</v>
      </c>
      <c r="G22" s="4">
        <v>2</v>
      </c>
      <c r="H22">
        <v>83.61</v>
      </c>
      <c r="I22" s="5">
        <v>45295</v>
      </c>
      <c r="J22" t="s">
        <v>37</v>
      </c>
      <c r="K22" t="s">
        <v>8</v>
      </c>
      <c r="L22">
        <f t="shared" si="0"/>
        <v>167.22</v>
      </c>
      <c r="M22">
        <f t="shared" si="1"/>
        <v>1</v>
      </c>
      <c r="N22">
        <f t="shared" si="2"/>
        <v>1</v>
      </c>
    </row>
    <row r="23" spans="1:14" x14ac:dyDescent="0.3">
      <c r="A23">
        <v>1099</v>
      </c>
      <c r="B23" t="s">
        <v>0</v>
      </c>
      <c r="C23" t="str">
        <f>PROPER(TRIM(B23))</f>
        <v>Alice</v>
      </c>
      <c r="D23">
        <v>20</v>
      </c>
      <c r="E23" t="s">
        <v>13</v>
      </c>
      <c r="F23" t="s">
        <v>14</v>
      </c>
      <c r="G23" s="4">
        <v>4</v>
      </c>
      <c r="H23">
        <v>87.13</v>
      </c>
      <c r="I23" s="5">
        <v>45469</v>
      </c>
      <c r="J23" t="s">
        <v>38</v>
      </c>
      <c r="K23" t="s">
        <v>8</v>
      </c>
      <c r="L23">
        <f t="shared" si="0"/>
        <v>348.52</v>
      </c>
      <c r="M23">
        <f t="shared" si="1"/>
        <v>6</v>
      </c>
      <c r="N23">
        <f t="shared" si="2"/>
        <v>1</v>
      </c>
    </row>
    <row r="24" spans="1:14" x14ac:dyDescent="0.3">
      <c r="A24">
        <v>1057</v>
      </c>
      <c r="B24" t="s">
        <v>17</v>
      </c>
      <c r="C24" t="str">
        <f>PROPER(TRIM(B24))</f>
        <v>Charlie</v>
      </c>
      <c r="D24">
        <v>23</v>
      </c>
      <c r="E24" t="s">
        <v>23</v>
      </c>
      <c r="F24" t="s">
        <v>20</v>
      </c>
      <c r="G24" s="4">
        <v>2</v>
      </c>
      <c r="H24">
        <v>87.84</v>
      </c>
      <c r="I24" s="5">
        <v>45599</v>
      </c>
      <c r="J24" t="s">
        <v>39</v>
      </c>
      <c r="K24" t="s">
        <v>11</v>
      </c>
      <c r="L24">
        <f t="shared" si="0"/>
        <v>175.68</v>
      </c>
      <c r="M24">
        <f t="shared" si="1"/>
        <v>11</v>
      </c>
      <c r="N24">
        <f t="shared" si="2"/>
        <v>0</v>
      </c>
    </row>
    <row r="25" spans="1:14" x14ac:dyDescent="0.3">
      <c r="A25">
        <v>1043</v>
      </c>
      <c r="B25" t="s">
        <v>17</v>
      </c>
      <c r="C25" t="str">
        <f>PROPER(TRIM(B25))</f>
        <v>Charlie</v>
      </c>
      <c r="D25">
        <v>22</v>
      </c>
      <c r="E25" t="s">
        <v>23</v>
      </c>
      <c r="F25" t="s">
        <v>6</v>
      </c>
      <c r="G25" s="4">
        <v>2</v>
      </c>
      <c r="H25">
        <v>91.02</v>
      </c>
      <c r="I25" s="5">
        <v>45426</v>
      </c>
      <c r="J25" t="s">
        <v>40</v>
      </c>
      <c r="K25" t="s">
        <v>8</v>
      </c>
      <c r="L25">
        <f t="shared" si="0"/>
        <v>182.04</v>
      </c>
      <c r="M25">
        <f t="shared" si="1"/>
        <v>5</v>
      </c>
      <c r="N25">
        <f t="shared" si="2"/>
        <v>1</v>
      </c>
    </row>
    <row r="26" spans="1:14" x14ac:dyDescent="0.3">
      <c r="A26">
        <v>1060</v>
      </c>
      <c r="B26" t="s">
        <v>5</v>
      </c>
      <c r="C26" t="str">
        <f>PROPER(TRIM(B26))</f>
        <v>Bob</v>
      </c>
      <c r="D26">
        <v>23</v>
      </c>
      <c r="E26" t="s">
        <v>13</v>
      </c>
      <c r="F26" t="s">
        <v>20</v>
      </c>
      <c r="G26" s="4">
        <v>3</v>
      </c>
      <c r="H26">
        <v>95.99</v>
      </c>
      <c r="I26" s="5">
        <v>45399</v>
      </c>
      <c r="J26" t="s">
        <v>41</v>
      </c>
      <c r="K26" t="s">
        <v>11</v>
      </c>
      <c r="L26">
        <f t="shared" si="0"/>
        <v>287.96999999999997</v>
      </c>
      <c r="M26">
        <f t="shared" si="1"/>
        <v>4</v>
      </c>
      <c r="N26">
        <f t="shared" si="2"/>
        <v>0</v>
      </c>
    </row>
    <row r="27" spans="1:14" x14ac:dyDescent="0.3">
      <c r="A27">
        <v>1007</v>
      </c>
      <c r="B27" t="s">
        <v>30</v>
      </c>
      <c r="C27" t="str">
        <f>PROPER(TRIM(B27))</f>
        <v>Dana</v>
      </c>
      <c r="D27">
        <v>23</v>
      </c>
      <c r="E27" t="s">
        <v>13</v>
      </c>
      <c r="F27" t="s">
        <v>20</v>
      </c>
      <c r="G27" s="4">
        <v>5</v>
      </c>
      <c r="H27">
        <v>96.26</v>
      </c>
      <c r="I27" s="5">
        <v>45459</v>
      </c>
      <c r="J27" t="s">
        <v>42</v>
      </c>
      <c r="K27" t="s">
        <v>8</v>
      </c>
      <c r="L27">
        <f t="shared" si="0"/>
        <v>481.3</v>
      </c>
      <c r="M27">
        <f t="shared" si="1"/>
        <v>6</v>
      </c>
      <c r="N27">
        <f t="shared" si="2"/>
        <v>1</v>
      </c>
    </row>
    <row r="28" spans="1:14" x14ac:dyDescent="0.3">
      <c r="A28">
        <v>1082</v>
      </c>
      <c r="B28" t="s">
        <v>0</v>
      </c>
      <c r="C28" t="str">
        <f>PROPER(TRIM(B28))</f>
        <v>Alice</v>
      </c>
      <c r="D28">
        <v>23</v>
      </c>
      <c r="E28" t="s">
        <v>13</v>
      </c>
      <c r="F28" t="s">
        <v>20</v>
      </c>
      <c r="G28" s="4">
        <v>10</v>
      </c>
      <c r="H28">
        <v>97.63</v>
      </c>
      <c r="I28" s="5">
        <v>45347</v>
      </c>
      <c r="J28" t="s">
        <v>43</v>
      </c>
      <c r="K28" t="s">
        <v>11</v>
      </c>
      <c r="L28">
        <f t="shared" si="0"/>
        <v>976.3</v>
      </c>
      <c r="M28">
        <f t="shared" si="1"/>
        <v>2</v>
      </c>
      <c r="N28">
        <f t="shared" si="2"/>
        <v>0</v>
      </c>
    </row>
    <row r="29" spans="1:14" x14ac:dyDescent="0.3">
      <c r="A29">
        <v>1016</v>
      </c>
      <c r="B29" t="s">
        <v>0</v>
      </c>
      <c r="C29" t="str">
        <f>PROPER(TRIM(B29))</f>
        <v>Alice</v>
      </c>
      <c r="D29">
        <v>23</v>
      </c>
      <c r="E29" t="s">
        <v>23</v>
      </c>
      <c r="F29" t="s">
        <v>20</v>
      </c>
      <c r="G29" s="4">
        <v>50</v>
      </c>
      <c r="H29">
        <v>99.26</v>
      </c>
      <c r="I29" s="5">
        <v>45475</v>
      </c>
      <c r="J29" t="s">
        <v>44</v>
      </c>
      <c r="K29" t="s">
        <v>4</v>
      </c>
      <c r="L29">
        <f t="shared" si="0"/>
        <v>4963</v>
      </c>
      <c r="M29">
        <f t="shared" si="1"/>
        <v>7</v>
      </c>
      <c r="N29">
        <f t="shared" si="2"/>
        <v>0</v>
      </c>
    </row>
    <row r="30" spans="1:14" x14ac:dyDescent="0.3">
      <c r="A30">
        <v>1094</v>
      </c>
      <c r="B30" t="s">
        <v>25</v>
      </c>
      <c r="C30" t="str">
        <f>PROPER(TRIM(B30))</f>
        <v>Frank</v>
      </c>
      <c r="D30">
        <v>21</v>
      </c>
      <c r="E30" t="s">
        <v>13</v>
      </c>
      <c r="F30" t="s">
        <v>2</v>
      </c>
      <c r="G30" s="4">
        <v>10</v>
      </c>
      <c r="H30">
        <v>102.13</v>
      </c>
      <c r="I30" s="5">
        <v>45364</v>
      </c>
      <c r="J30" t="s">
        <v>45</v>
      </c>
      <c r="K30" t="s">
        <v>4</v>
      </c>
      <c r="L30">
        <f t="shared" si="0"/>
        <v>1021.3</v>
      </c>
      <c r="M30">
        <f t="shared" si="1"/>
        <v>3</v>
      </c>
      <c r="N30">
        <f t="shared" si="2"/>
        <v>0</v>
      </c>
    </row>
    <row r="31" spans="1:14" x14ac:dyDescent="0.3">
      <c r="A31">
        <v>1086</v>
      </c>
      <c r="B31" t="s">
        <v>0</v>
      </c>
      <c r="C31" t="str">
        <f>PROPER(TRIM(B31))</f>
        <v>Alice</v>
      </c>
      <c r="D31">
        <v>23</v>
      </c>
      <c r="E31" t="s">
        <v>1</v>
      </c>
      <c r="F31" t="s">
        <v>2</v>
      </c>
      <c r="G31" s="4">
        <v>5</v>
      </c>
      <c r="H31">
        <v>104.15</v>
      </c>
      <c r="I31" s="5">
        <v>45292</v>
      </c>
      <c r="J31" t="s">
        <v>46</v>
      </c>
      <c r="K31" t="s">
        <v>8</v>
      </c>
      <c r="L31">
        <f t="shared" si="0"/>
        <v>520.75</v>
      </c>
      <c r="M31">
        <f t="shared" si="1"/>
        <v>1</v>
      </c>
      <c r="N31">
        <f t="shared" si="2"/>
        <v>1</v>
      </c>
    </row>
    <row r="32" spans="1:14" x14ac:dyDescent="0.3">
      <c r="A32">
        <v>1092</v>
      </c>
      <c r="B32" t="s">
        <v>17</v>
      </c>
      <c r="C32" t="str">
        <f>PROPER(TRIM(B32))</f>
        <v>Charlie</v>
      </c>
      <c r="D32">
        <v>23</v>
      </c>
      <c r="E32" t="s">
        <v>1</v>
      </c>
      <c r="F32" t="s">
        <v>20</v>
      </c>
      <c r="G32" s="4">
        <v>1</v>
      </c>
      <c r="H32">
        <v>107.8</v>
      </c>
      <c r="I32" s="5">
        <v>45368</v>
      </c>
      <c r="J32" t="s">
        <v>47</v>
      </c>
      <c r="K32" t="s">
        <v>11</v>
      </c>
      <c r="L32">
        <f t="shared" si="0"/>
        <v>107.8</v>
      </c>
      <c r="M32">
        <f t="shared" si="1"/>
        <v>3</v>
      </c>
      <c r="N32">
        <f t="shared" si="2"/>
        <v>0</v>
      </c>
    </row>
    <row r="33" spans="1:14" x14ac:dyDescent="0.3">
      <c r="A33">
        <v>1066</v>
      </c>
      <c r="B33" t="s">
        <v>25</v>
      </c>
      <c r="C33" t="str">
        <f>PROPER(TRIM(B33))</f>
        <v>Frank</v>
      </c>
      <c r="D33">
        <v>22</v>
      </c>
      <c r="E33" t="s">
        <v>1</v>
      </c>
      <c r="F33" t="s">
        <v>20</v>
      </c>
      <c r="G33" s="4">
        <v>2</v>
      </c>
      <c r="H33">
        <v>109.1</v>
      </c>
      <c r="I33" s="5">
        <v>45406</v>
      </c>
      <c r="J33" t="s">
        <v>48</v>
      </c>
      <c r="K33" t="s">
        <v>8</v>
      </c>
      <c r="L33">
        <f t="shared" si="0"/>
        <v>218.2</v>
      </c>
      <c r="M33">
        <f t="shared" si="1"/>
        <v>4</v>
      </c>
      <c r="N33">
        <f t="shared" si="2"/>
        <v>1</v>
      </c>
    </row>
    <row r="34" spans="1:14" x14ac:dyDescent="0.3">
      <c r="A34">
        <v>1027</v>
      </c>
      <c r="B34" t="s">
        <v>30</v>
      </c>
      <c r="C34" t="str">
        <f>PROPER(TRIM(B34))</f>
        <v>Dana</v>
      </c>
      <c r="D34">
        <v>23</v>
      </c>
      <c r="E34" t="s">
        <v>13</v>
      </c>
      <c r="F34" t="s">
        <v>14</v>
      </c>
      <c r="G34" s="4">
        <v>4</v>
      </c>
      <c r="H34">
        <v>115.66</v>
      </c>
      <c r="I34" s="5">
        <v>45458</v>
      </c>
      <c r="J34" t="s">
        <v>49</v>
      </c>
      <c r="K34" t="s">
        <v>11</v>
      </c>
      <c r="L34">
        <f t="shared" si="0"/>
        <v>462.64</v>
      </c>
      <c r="M34">
        <f t="shared" si="1"/>
        <v>6</v>
      </c>
      <c r="N34">
        <f t="shared" si="2"/>
        <v>0</v>
      </c>
    </row>
    <row r="35" spans="1:14" x14ac:dyDescent="0.3">
      <c r="A35">
        <v>1002</v>
      </c>
      <c r="B35" t="s">
        <v>0</v>
      </c>
      <c r="C35" t="str">
        <f>PROPER(TRIM(B35))</f>
        <v>Alice</v>
      </c>
      <c r="D35">
        <v>20</v>
      </c>
      <c r="E35" t="s">
        <v>13</v>
      </c>
      <c r="F35" t="s">
        <v>20</v>
      </c>
      <c r="G35" s="4" t="s">
        <v>31</v>
      </c>
      <c r="H35">
        <v>117.31</v>
      </c>
      <c r="I35" s="5">
        <v>45447</v>
      </c>
      <c r="J35" t="s">
        <v>50</v>
      </c>
      <c r="K35" t="s">
        <v>11</v>
      </c>
      <c r="L35">
        <f t="shared" si="0"/>
        <v>586.54999999999995</v>
      </c>
      <c r="M35">
        <f t="shared" si="1"/>
        <v>6</v>
      </c>
      <c r="N35">
        <f t="shared" si="2"/>
        <v>0</v>
      </c>
    </row>
    <row r="36" spans="1:14" x14ac:dyDescent="0.3">
      <c r="A36">
        <v>1044</v>
      </c>
      <c r="B36" t="s">
        <v>0</v>
      </c>
      <c r="C36" t="str">
        <f>PROPER(TRIM(B36))</f>
        <v>Alice</v>
      </c>
      <c r="D36">
        <v>20</v>
      </c>
      <c r="E36" t="s">
        <v>13</v>
      </c>
      <c r="F36" t="s">
        <v>6</v>
      </c>
      <c r="G36" s="4">
        <v>50</v>
      </c>
      <c r="H36">
        <v>119.15</v>
      </c>
      <c r="I36" s="5">
        <v>45427</v>
      </c>
      <c r="J36" t="s">
        <v>51</v>
      </c>
      <c r="K36" t="s">
        <v>11</v>
      </c>
      <c r="L36">
        <f t="shared" si="0"/>
        <v>5957.5</v>
      </c>
      <c r="M36">
        <f t="shared" si="1"/>
        <v>5</v>
      </c>
      <c r="N36">
        <f t="shared" si="2"/>
        <v>0</v>
      </c>
    </row>
    <row r="37" spans="1:14" x14ac:dyDescent="0.3">
      <c r="A37">
        <v>1070</v>
      </c>
      <c r="B37" t="s">
        <v>9</v>
      </c>
      <c r="C37" t="str">
        <f>PROPER(TRIM(B37))</f>
        <v>Evan</v>
      </c>
      <c r="D37">
        <v>23</v>
      </c>
      <c r="E37" t="s">
        <v>23</v>
      </c>
      <c r="F37" t="s">
        <v>2</v>
      </c>
      <c r="G37" s="4">
        <v>3</v>
      </c>
      <c r="H37">
        <v>120.8</v>
      </c>
      <c r="I37" s="5">
        <v>45342</v>
      </c>
      <c r="J37" t="s">
        <v>52</v>
      </c>
      <c r="K37" t="s">
        <v>11</v>
      </c>
      <c r="L37">
        <f t="shared" si="0"/>
        <v>362.4</v>
      </c>
      <c r="M37">
        <f t="shared" si="1"/>
        <v>2</v>
      </c>
      <c r="N37">
        <f t="shared" si="2"/>
        <v>0</v>
      </c>
    </row>
    <row r="38" spans="1:14" x14ac:dyDescent="0.3">
      <c r="A38">
        <v>1069</v>
      </c>
      <c r="B38" t="s">
        <v>9</v>
      </c>
      <c r="C38" t="str">
        <f>PROPER(TRIM(B38))</f>
        <v>Evan</v>
      </c>
      <c r="D38">
        <v>20</v>
      </c>
      <c r="E38" t="s">
        <v>1</v>
      </c>
      <c r="F38" t="s">
        <v>2</v>
      </c>
      <c r="G38" s="4">
        <v>5</v>
      </c>
      <c r="H38">
        <v>121.52</v>
      </c>
      <c r="I38" s="5">
        <v>45396</v>
      </c>
      <c r="J38" t="s">
        <v>53</v>
      </c>
      <c r="K38" t="s">
        <v>8</v>
      </c>
      <c r="L38">
        <f t="shared" si="0"/>
        <v>607.6</v>
      </c>
      <c r="M38">
        <f t="shared" si="1"/>
        <v>4</v>
      </c>
      <c r="N38">
        <f t="shared" si="2"/>
        <v>1</v>
      </c>
    </row>
    <row r="39" spans="1:14" x14ac:dyDescent="0.3">
      <c r="A39">
        <v>1005</v>
      </c>
      <c r="B39" t="s">
        <v>5</v>
      </c>
      <c r="C39" t="str">
        <f>PROPER(TRIM(B39))</f>
        <v>Bob</v>
      </c>
      <c r="D39">
        <v>20</v>
      </c>
      <c r="E39" t="s">
        <v>23</v>
      </c>
      <c r="F39" t="s">
        <v>20</v>
      </c>
      <c r="G39" s="4">
        <v>1</v>
      </c>
      <c r="H39">
        <v>121.66</v>
      </c>
      <c r="I39" s="5">
        <v>45424</v>
      </c>
      <c r="J39" t="s">
        <v>54</v>
      </c>
      <c r="K39" t="s">
        <v>4</v>
      </c>
      <c r="L39">
        <f t="shared" si="0"/>
        <v>121.66</v>
      </c>
      <c r="M39">
        <f t="shared" si="1"/>
        <v>5</v>
      </c>
      <c r="N39">
        <f t="shared" si="2"/>
        <v>0</v>
      </c>
    </row>
    <row r="40" spans="1:14" x14ac:dyDescent="0.3">
      <c r="A40">
        <v>1027</v>
      </c>
      <c r="B40" t="s">
        <v>0</v>
      </c>
      <c r="C40" t="str">
        <f>PROPER(TRIM(B40))</f>
        <v>Alice</v>
      </c>
      <c r="D40">
        <v>23</v>
      </c>
      <c r="E40" t="s">
        <v>13</v>
      </c>
      <c r="F40" t="s">
        <v>6</v>
      </c>
      <c r="G40" s="4">
        <v>3</v>
      </c>
      <c r="H40">
        <v>122.18</v>
      </c>
      <c r="I40" s="5">
        <v>45343</v>
      </c>
      <c r="J40" t="s">
        <v>55</v>
      </c>
      <c r="K40" t="s">
        <v>11</v>
      </c>
      <c r="L40">
        <f t="shared" si="0"/>
        <v>366.54</v>
      </c>
      <c r="M40">
        <f t="shared" si="1"/>
        <v>2</v>
      </c>
      <c r="N40">
        <f t="shared" si="2"/>
        <v>0</v>
      </c>
    </row>
    <row r="41" spans="1:14" x14ac:dyDescent="0.3">
      <c r="A41">
        <v>1048</v>
      </c>
      <c r="B41" t="s">
        <v>9</v>
      </c>
      <c r="C41" t="str">
        <f>PROPER(TRIM(B41))</f>
        <v>Evan</v>
      </c>
      <c r="D41">
        <v>22</v>
      </c>
      <c r="E41" t="s">
        <v>13</v>
      </c>
      <c r="F41" t="s">
        <v>14</v>
      </c>
      <c r="G41" s="4">
        <v>50</v>
      </c>
      <c r="H41">
        <v>122.37</v>
      </c>
      <c r="I41" s="5">
        <v>45442</v>
      </c>
      <c r="J41" t="s">
        <v>56</v>
      </c>
      <c r="K41" t="s">
        <v>8</v>
      </c>
      <c r="L41">
        <f t="shared" si="0"/>
        <v>6118.5</v>
      </c>
      <c r="M41">
        <f t="shared" si="1"/>
        <v>5</v>
      </c>
      <c r="N41">
        <f t="shared" si="2"/>
        <v>1</v>
      </c>
    </row>
    <row r="42" spans="1:14" x14ac:dyDescent="0.3">
      <c r="A42">
        <v>1041</v>
      </c>
      <c r="B42" t="s">
        <v>0</v>
      </c>
      <c r="C42" t="str">
        <f>PROPER(TRIM(B42))</f>
        <v>Alice</v>
      </c>
      <c r="D42">
        <v>20</v>
      </c>
      <c r="E42" t="s">
        <v>13</v>
      </c>
      <c r="F42" t="s">
        <v>6</v>
      </c>
      <c r="G42" s="4">
        <v>5</v>
      </c>
      <c r="H42">
        <v>124.87</v>
      </c>
      <c r="I42" s="5">
        <v>45379</v>
      </c>
      <c r="J42" t="s">
        <v>57</v>
      </c>
      <c r="K42" t="s">
        <v>4</v>
      </c>
      <c r="L42">
        <f t="shared" si="0"/>
        <v>624.35</v>
      </c>
      <c r="M42">
        <f t="shared" si="1"/>
        <v>3</v>
      </c>
      <c r="N42">
        <f t="shared" si="2"/>
        <v>0</v>
      </c>
    </row>
    <row r="43" spans="1:14" x14ac:dyDescent="0.3">
      <c r="A43">
        <v>1045</v>
      </c>
      <c r="B43" t="s">
        <v>17</v>
      </c>
      <c r="C43" t="str">
        <f>PROPER(TRIM(B43))</f>
        <v>Charlie</v>
      </c>
      <c r="D43">
        <v>23</v>
      </c>
      <c r="E43" t="s">
        <v>13</v>
      </c>
      <c r="F43" t="s">
        <v>14</v>
      </c>
      <c r="G43" s="4">
        <v>5</v>
      </c>
      <c r="H43">
        <v>128.19</v>
      </c>
      <c r="I43" s="5">
        <v>45376</v>
      </c>
      <c r="J43" t="s">
        <v>58</v>
      </c>
      <c r="K43" t="s">
        <v>8</v>
      </c>
      <c r="L43">
        <f t="shared" si="0"/>
        <v>640.95000000000005</v>
      </c>
      <c r="M43">
        <f t="shared" si="1"/>
        <v>3</v>
      </c>
      <c r="N43">
        <f t="shared" si="2"/>
        <v>1</v>
      </c>
    </row>
    <row r="44" spans="1:14" x14ac:dyDescent="0.3">
      <c r="A44">
        <v>1057</v>
      </c>
      <c r="B44" t="s">
        <v>17</v>
      </c>
      <c r="C44" t="str">
        <f>PROPER(TRIM(B44))</f>
        <v>Charlie</v>
      </c>
      <c r="D44">
        <v>23</v>
      </c>
      <c r="E44" t="s">
        <v>13</v>
      </c>
      <c r="F44" t="s">
        <v>2</v>
      </c>
      <c r="G44" s="4" t="s">
        <v>31</v>
      </c>
      <c r="H44">
        <v>130.77000000000001</v>
      </c>
      <c r="I44" s="5">
        <v>45373</v>
      </c>
      <c r="J44" t="s">
        <v>59</v>
      </c>
      <c r="K44" t="s">
        <v>11</v>
      </c>
      <c r="L44">
        <f t="shared" si="0"/>
        <v>653.85</v>
      </c>
      <c r="M44">
        <f t="shared" si="1"/>
        <v>3</v>
      </c>
      <c r="N44">
        <f t="shared" si="2"/>
        <v>0</v>
      </c>
    </row>
    <row r="45" spans="1:14" x14ac:dyDescent="0.3">
      <c r="A45">
        <v>1074</v>
      </c>
      <c r="B45" t="s">
        <v>9</v>
      </c>
      <c r="C45" t="str">
        <f>PROPER(TRIM(B45))</f>
        <v>Evan</v>
      </c>
      <c r="D45">
        <v>24</v>
      </c>
      <c r="E45" t="s">
        <v>13</v>
      </c>
      <c r="F45" t="s">
        <v>2</v>
      </c>
      <c r="G45" s="4">
        <v>4</v>
      </c>
      <c r="H45">
        <v>133.46</v>
      </c>
      <c r="I45" s="5">
        <v>45434</v>
      </c>
      <c r="J45" t="s">
        <v>60</v>
      </c>
      <c r="K45" t="s">
        <v>8</v>
      </c>
      <c r="L45">
        <f t="shared" si="0"/>
        <v>533.84</v>
      </c>
      <c r="M45">
        <f t="shared" si="1"/>
        <v>5</v>
      </c>
      <c r="N45">
        <f t="shared" si="2"/>
        <v>1</v>
      </c>
    </row>
    <row r="46" spans="1:14" x14ac:dyDescent="0.3">
      <c r="A46">
        <v>1068</v>
      </c>
      <c r="B46" t="s">
        <v>0</v>
      </c>
      <c r="C46" t="str">
        <f>PROPER(TRIM(B46))</f>
        <v>Alice</v>
      </c>
      <c r="D46">
        <v>23</v>
      </c>
      <c r="E46" t="s">
        <v>23</v>
      </c>
      <c r="F46" t="s">
        <v>20</v>
      </c>
      <c r="G46" s="4">
        <v>2</v>
      </c>
      <c r="H46">
        <v>135.15</v>
      </c>
      <c r="I46" s="5">
        <v>45349</v>
      </c>
      <c r="J46" t="s">
        <v>61</v>
      </c>
      <c r="K46" t="s">
        <v>11</v>
      </c>
      <c r="L46">
        <f t="shared" si="0"/>
        <v>270.3</v>
      </c>
      <c r="M46">
        <f t="shared" si="1"/>
        <v>2</v>
      </c>
      <c r="N46">
        <f t="shared" si="2"/>
        <v>0</v>
      </c>
    </row>
    <row r="47" spans="1:14" x14ac:dyDescent="0.3">
      <c r="A47">
        <v>1041</v>
      </c>
      <c r="B47" t="s">
        <v>0</v>
      </c>
      <c r="C47" t="str">
        <f>PROPER(TRIM(B47))</f>
        <v>Alice</v>
      </c>
      <c r="D47">
        <v>23</v>
      </c>
      <c r="E47" t="s">
        <v>23</v>
      </c>
      <c r="F47" t="s">
        <v>6</v>
      </c>
      <c r="G47" s="4">
        <v>3</v>
      </c>
      <c r="H47">
        <v>136.91</v>
      </c>
      <c r="I47" s="5">
        <v>45361</v>
      </c>
      <c r="J47" t="s">
        <v>62</v>
      </c>
      <c r="K47" t="s">
        <v>8</v>
      </c>
      <c r="L47">
        <f t="shared" si="0"/>
        <v>410.73</v>
      </c>
      <c r="M47">
        <f t="shared" si="1"/>
        <v>3</v>
      </c>
      <c r="N47">
        <f t="shared" si="2"/>
        <v>1</v>
      </c>
    </row>
    <row r="48" spans="1:14" x14ac:dyDescent="0.3">
      <c r="A48">
        <v>1061</v>
      </c>
      <c r="B48" t="s">
        <v>5</v>
      </c>
      <c r="C48" t="str">
        <f>PROPER(TRIM(B48))</f>
        <v>Bob</v>
      </c>
      <c r="D48">
        <v>21</v>
      </c>
      <c r="E48" t="s">
        <v>23</v>
      </c>
      <c r="F48" t="s">
        <v>6</v>
      </c>
      <c r="G48" s="4" t="s">
        <v>31</v>
      </c>
      <c r="H48">
        <v>140.16</v>
      </c>
      <c r="I48" s="5">
        <v>45419</v>
      </c>
      <c r="J48" t="s">
        <v>63</v>
      </c>
      <c r="K48" t="s">
        <v>4</v>
      </c>
      <c r="L48">
        <f t="shared" si="0"/>
        <v>700.8</v>
      </c>
      <c r="M48">
        <f t="shared" si="1"/>
        <v>5</v>
      </c>
      <c r="N48">
        <f t="shared" si="2"/>
        <v>0</v>
      </c>
    </row>
    <row r="49" spans="1:14" x14ac:dyDescent="0.3">
      <c r="A49">
        <v>1057</v>
      </c>
      <c r="B49" t="s">
        <v>17</v>
      </c>
      <c r="C49" t="str">
        <f>PROPER(TRIM(B49))</f>
        <v>Charlie</v>
      </c>
      <c r="D49">
        <v>20</v>
      </c>
      <c r="E49" t="s">
        <v>13</v>
      </c>
      <c r="F49" t="s">
        <v>20</v>
      </c>
      <c r="G49" s="4">
        <v>5</v>
      </c>
      <c r="H49">
        <v>141.66999999999999</v>
      </c>
      <c r="I49" s="5">
        <v>45425</v>
      </c>
      <c r="J49" t="s">
        <v>64</v>
      </c>
      <c r="K49" t="s">
        <v>11</v>
      </c>
      <c r="L49">
        <f t="shared" si="0"/>
        <v>708.34999999999991</v>
      </c>
      <c r="M49">
        <f t="shared" si="1"/>
        <v>5</v>
      </c>
      <c r="N49">
        <f t="shared" si="2"/>
        <v>0</v>
      </c>
    </row>
    <row r="50" spans="1:14" x14ac:dyDescent="0.3">
      <c r="A50">
        <v>1007</v>
      </c>
      <c r="B50" t="s">
        <v>30</v>
      </c>
      <c r="C50" t="str">
        <f>PROPER(TRIM(B50))</f>
        <v>Dana</v>
      </c>
      <c r="D50">
        <v>24</v>
      </c>
      <c r="E50" t="s">
        <v>13</v>
      </c>
      <c r="F50" t="s">
        <v>6</v>
      </c>
      <c r="G50" s="4">
        <v>50</v>
      </c>
      <c r="H50">
        <v>144.66</v>
      </c>
      <c r="I50" s="5">
        <v>45462</v>
      </c>
      <c r="J50" t="s">
        <v>65</v>
      </c>
      <c r="K50" t="s">
        <v>8</v>
      </c>
      <c r="L50">
        <f t="shared" si="0"/>
        <v>7233</v>
      </c>
      <c r="M50">
        <f t="shared" si="1"/>
        <v>6</v>
      </c>
      <c r="N50">
        <f t="shared" si="2"/>
        <v>1</v>
      </c>
    </row>
    <row r="51" spans="1:14" x14ac:dyDescent="0.3">
      <c r="A51">
        <v>1033</v>
      </c>
      <c r="B51" t="s">
        <v>17</v>
      </c>
      <c r="C51" t="str">
        <f>PROPER(TRIM(B51))</f>
        <v>Charlie</v>
      </c>
      <c r="D51">
        <v>20</v>
      </c>
      <c r="E51" t="s">
        <v>13</v>
      </c>
      <c r="F51" t="s">
        <v>14</v>
      </c>
      <c r="G51" s="4">
        <v>10</v>
      </c>
      <c r="H51">
        <v>147.35</v>
      </c>
      <c r="I51" s="5">
        <v>45300</v>
      </c>
      <c r="J51" t="s">
        <v>66</v>
      </c>
      <c r="K51" t="s">
        <v>8</v>
      </c>
      <c r="L51">
        <f t="shared" si="0"/>
        <v>1473.5</v>
      </c>
      <c r="M51">
        <f t="shared" si="1"/>
        <v>1</v>
      </c>
      <c r="N51">
        <f t="shared" si="2"/>
        <v>1</v>
      </c>
    </row>
    <row r="52" spans="1:14" x14ac:dyDescent="0.3">
      <c r="A52">
        <v>1046</v>
      </c>
      <c r="B52" t="s">
        <v>9</v>
      </c>
      <c r="C52" t="str">
        <f>PROPER(TRIM(B52))</f>
        <v>Evan</v>
      </c>
      <c r="D52">
        <v>23</v>
      </c>
      <c r="E52" t="s">
        <v>13</v>
      </c>
      <c r="F52" t="s">
        <v>20</v>
      </c>
      <c r="G52" s="4">
        <v>10</v>
      </c>
      <c r="H52">
        <v>151.49</v>
      </c>
      <c r="I52" s="5">
        <v>45441</v>
      </c>
      <c r="J52" t="s">
        <v>67</v>
      </c>
      <c r="K52" t="s">
        <v>8</v>
      </c>
      <c r="L52">
        <f t="shared" si="0"/>
        <v>1514.9</v>
      </c>
      <c r="M52">
        <f t="shared" si="1"/>
        <v>5</v>
      </c>
      <c r="N52">
        <f t="shared" si="2"/>
        <v>1</v>
      </c>
    </row>
    <row r="53" spans="1:14" x14ac:dyDescent="0.3">
      <c r="A53">
        <v>1052</v>
      </c>
      <c r="B53" t="s">
        <v>17</v>
      </c>
      <c r="C53" t="str">
        <f>PROPER(TRIM(B53))</f>
        <v>Charlie</v>
      </c>
      <c r="D53">
        <v>20</v>
      </c>
      <c r="E53" t="s">
        <v>1</v>
      </c>
      <c r="F53" t="s">
        <v>2</v>
      </c>
      <c r="G53" s="4">
        <v>10</v>
      </c>
      <c r="H53">
        <v>152.88</v>
      </c>
      <c r="I53" s="5">
        <v>45355</v>
      </c>
      <c r="J53" t="s">
        <v>68</v>
      </c>
      <c r="K53" t="s">
        <v>8</v>
      </c>
      <c r="L53">
        <f t="shared" si="0"/>
        <v>1528.8</v>
      </c>
      <c r="M53">
        <f t="shared" si="1"/>
        <v>3</v>
      </c>
      <c r="N53">
        <f t="shared" si="2"/>
        <v>1</v>
      </c>
    </row>
    <row r="54" spans="1:14" x14ac:dyDescent="0.3">
      <c r="A54">
        <v>1038</v>
      </c>
      <c r="B54" t="s">
        <v>25</v>
      </c>
      <c r="C54" t="str">
        <f>PROPER(TRIM(B54))</f>
        <v>Frank</v>
      </c>
      <c r="D54">
        <v>24</v>
      </c>
      <c r="E54" t="s">
        <v>23</v>
      </c>
      <c r="F54" t="s">
        <v>14</v>
      </c>
      <c r="G54" s="4">
        <v>3</v>
      </c>
      <c r="H54">
        <v>153.52000000000001</v>
      </c>
      <c r="I54" s="5">
        <v>45405</v>
      </c>
      <c r="J54" t="s">
        <v>69</v>
      </c>
      <c r="K54" t="s">
        <v>8</v>
      </c>
      <c r="L54">
        <f t="shared" si="0"/>
        <v>460.56000000000006</v>
      </c>
      <c r="M54">
        <f t="shared" si="1"/>
        <v>4</v>
      </c>
      <c r="N54">
        <f t="shared" si="2"/>
        <v>1</v>
      </c>
    </row>
    <row r="55" spans="1:14" x14ac:dyDescent="0.3">
      <c r="A55">
        <v>1094</v>
      </c>
      <c r="B55" t="s">
        <v>5</v>
      </c>
      <c r="C55" t="str">
        <f>PROPER(TRIM(B55))</f>
        <v>Bob</v>
      </c>
      <c r="D55">
        <v>23</v>
      </c>
      <c r="E55" t="s">
        <v>23</v>
      </c>
      <c r="F55" t="s">
        <v>6</v>
      </c>
      <c r="G55" s="4">
        <v>1</v>
      </c>
      <c r="H55">
        <v>157.41</v>
      </c>
      <c r="I55" s="5">
        <v>45345</v>
      </c>
      <c r="J55" t="s">
        <v>70</v>
      </c>
      <c r="K55" t="s">
        <v>11</v>
      </c>
      <c r="L55">
        <f t="shared" si="0"/>
        <v>157.41</v>
      </c>
      <c r="M55">
        <f t="shared" si="1"/>
        <v>2</v>
      </c>
      <c r="N55">
        <f t="shared" si="2"/>
        <v>0</v>
      </c>
    </row>
    <row r="56" spans="1:14" x14ac:dyDescent="0.3">
      <c r="A56">
        <v>1008</v>
      </c>
      <c r="B56" t="s">
        <v>17</v>
      </c>
      <c r="C56" t="str">
        <f>PROPER(TRIM(B56))</f>
        <v>Charlie</v>
      </c>
      <c r="D56">
        <v>24</v>
      </c>
      <c r="E56" t="s">
        <v>13</v>
      </c>
      <c r="F56" t="s">
        <v>2</v>
      </c>
      <c r="G56" s="4">
        <v>4</v>
      </c>
      <c r="H56">
        <v>160.38</v>
      </c>
      <c r="I56" s="5">
        <v>45342</v>
      </c>
      <c r="J56" t="s">
        <v>71</v>
      </c>
      <c r="K56" t="s">
        <v>8</v>
      </c>
      <c r="L56">
        <f t="shared" si="0"/>
        <v>641.52</v>
      </c>
      <c r="M56">
        <f t="shared" si="1"/>
        <v>2</v>
      </c>
      <c r="N56">
        <f t="shared" si="2"/>
        <v>1</v>
      </c>
    </row>
    <row r="57" spans="1:14" x14ac:dyDescent="0.3">
      <c r="A57">
        <v>1056</v>
      </c>
      <c r="B57" t="s">
        <v>9</v>
      </c>
      <c r="C57" t="str">
        <f>PROPER(TRIM(B57))</f>
        <v>Evan</v>
      </c>
      <c r="D57">
        <v>23</v>
      </c>
      <c r="E57" t="s">
        <v>13</v>
      </c>
      <c r="F57" t="s">
        <v>2</v>
      </c>
      <c r="G57" s="4">
        <v>10</v>
      </c>
      <c r="H57">
        <v>161.38999999999999</v>
      </c>
      <c r="I57" s="5">
        <v>45439</v>
      </c>
      <c r="J57" t="s">
        <v>72</v>
      </c>
      <c r="K57" t="s">
        <v>11</v>
      </c>
      <c r="L57">
        <f t="shared" si="0"/>
        <v>1613.8999999999999</v>
      </c>
      <c r="M57">
        <f t="shared" si="1"/>
        <v>5</v>
      </c>
      <c r="N57">
        <f t="shared" si="2"/>
        <v>0</v>
      </c>
    </row>
    <row r="58" spans="1:14" x14ac:dyDescent="0.3">
      <c r="A58">
        <v>1003</v>
      </c>
      <c r="B58" t="s">
        <v>30</v>
      </c>
      <c r="C58" t="str">
        <f>PROPER(TRIM(B58))</f>
        <v>Dana</v>
      </c>
      <c r="D58">
        <v>23</v>
      </c>
      <c r="E58" t="s">
        <v>13</v>
      </c>
      <c r="F58" t="s">
        <v>6</v>
      </c>
      <c r="G58" s="4">
        <v>5</v>
      </c>
      <c r="H58">
        <v>163.63</v>
      </c>
      <c r="I58" s="5">
        <v>45394</v>
      </c>
      <c r="J58" t="s">
        <v>73</v>
      </c>
      <c r="K58" t="s">
        <v>8</v>
      </c>
      <c r="L58">
        <f t="shared" si="0"/>
        <v>818.15</v>
      </c>
      <c r="M58">
        <f t="shared" si="1"/>
        <v>4</v>
      </c>
      <c r="N58">
        <f t="shared" si="2"/>
        <v>1</v>
      </c>
    </row>
    <row r="59" spans="1:14" x14ac:dyDescent="0.3">
      <c r="A59">
        <v>1054</v>
      </c>
      <c r="B59" t="s">
        <v>5</v>
      </c>
      <c r="C59" t="str">
        <f>PROPER(TRIM(B59))</f>
        <v>Bob</v>
      </c>
      <c r="D59">
        <v>23</v>
      </c>
      <c r="E59" t="s">
        <v>13</v>
      </c>
      <c r="F59" t="s">
        <v>2</v>
      </c>
      <c r="G59" s="4">
        <v>3</v>
      </c>
      <c r="H59">
        <v>163.69</v>
      </c>
      <c r="I59" s="5">
        <v>45323</v>
      </c>
      <c r="J59" t="s">
        <v>74</v>
      </c>
      <c r="K59" t="s">
        <v>8</v>
      </c>
      <c r="L59">
        <f t="shared" si="0"/>
        <v>491.07</v>
      </c>
      <c r="M59">
        <f t="shared" si="1"/>
        <v>2</v>
      </c>
      <c r="N59">
        <f t="shared" si="2"/>
        <v>1</v>
      </c>
    </row>
    <row r="60" spans="1:14" x14ac:dyDescent="0.3">
      <c r="A60">
        <v>1052</v>
      </c>
      <c r="B60" t="s">
        <v>25</v>
      </c>
      <c r="C60" t="str">
        <f>PROPER(TRIM(B60))</f>
        <v>Frank</v>
      </c>
      <c r="D60">
        <v>24</v>
      </c>
      <c r="E60" t="s">
        <v>1</v>
      </c>
      <c r="F60" t="s">
        <v>20</v>
      </c>
      <c r="G60" s="4">
        <v>3</v>
      </c>
      <c r="H60">
        <v>166.41</v>
      </c>
      <c r="I60" s="5">
        <v>45360</v>
      </c>
      <c r="J60" t="s">
        <v>75</v>
      </c>
      <c r="K60" t="s">
        <v>8</v>
      </c>
      <c r="L60">
        <f t="shared" si="0"/>
        <v>499.23</v>
      </c>
      <c r="M60">
        <f t="shared" si="1"/>
        <v>3</v>
      </c>
      <c r="N60">
        <f t="shared" si="2"/>
        <v>1</v>
      </c>
    </row>
    <row r="61" spans="1:14" x14ac:dyDescent="0.3">
      <c r="A61">
        <v>1074</v>
      </c>
      <c r="B61" t="s">
        <v>30</v>
      </c>
      <c r="C61" t="str">
        <f>PROPER(TRIM(B61))</f>
        <v>Dana</v>
      </c>
      <c r="D61">
        <v>23</v>
      </c>
      <c r="E61" t="s">
        <v>13</v>
      </c>
      <c r="F61" t="s">
        <v>14</v>
      </c>
      <c r="G61" s="4">
        <v>5</v>
      </c>
      <c r="H61">
        <v>167.11</v>
      </c>
      <c r="I61" s="5">
        <v>45303</v>
      </c>
      <c r="J61" t="s">
        <v>76</v>
      </c>
      <c r="K61" t="s">
        <v>8</v>
      </c>
      <c r="L61">
        <f t="shared" si="0"/>
        <v>835.55000000000007</v>
      </c>
      <c r="M61">
        <f t="shared" si="1"/>
        <v>1</v>
      </c>
      <c r="N61">
        <f t="shared" si="2"/>
        <v>1</v>
      </c>
    </row>
    <row r="62" spans="1:14" x14ac:dyDescent="0.3">
      <c r="A62">
        <v>1035</v>
      </c>
      <c r="B62" t="s">
        <v>9</v>
      </c>
      <c r="C62" t="str">
        <f>PROPER(TRIM(B62))</f>
        <v>Evan</v>
      </c>
      <c r="D62">
        <v>20</v>
      </c>
      <c r="E62" t="s">
        <v>13</v>
      </c>
      <c r="F62" t="s">
        <v>2</v>
      </c>
      <c r="G62" s="4">
        <v>5</v>
      </c>
      <c r="H62">
        <v>172.83</v>
      </c>
      <c r="I62" s="5">
        <v>45315</v>
      </c>
      <c r="J62" t="s">
        <v>77</v>
      </c>
      <c r="K62" t="s">
        <v>8</v>
      </c>
      <c r="L62">
        <f t="shared" si="0"/>
        <v>864.15000000000009</v>
      </c>
      <c r="M62">
        <f t="shared" si="1"/>
        <v>1</v>
      </c>
      <c r="N62">
        <f t="shared" si="2"/>
        <v>1</v>
      </c>
    </row>
    <row r="63" spans="1:14" x14ac:dyDescent="0.3">
      <c r="A63">
        <v>1011</v>
      </c>
      <c r="B63" t="s">
        <v>9</v>
      </c>
      <c r="C63" t="str">
        <f>PROPER(TRIM(B63))</f>
        <v>Evan</v>
      </c>
      <c r="D63">
        <v>20</v>
      </c>
      <c r="E63" t="s">
        <v>1</v>
      </c>
      <c r="F63" t="s">
        <v>20</v>
      </c>
      <c r="G63" s="4">
        <v>4</v>
      </c>
      <c r="H63">
        <v>176.63</v>
      </c>
      <c r="I63" s="5">
        <v>45322</v>
      </c>
      <c r="J63" t="s">
        <v>78</v>
      </c>
      <c r="K63" t="s">
        <v>8</v>
      </c>
      <c r="L63">
        <f t="shared" si="0"/>
        <v>706.52</v>
      </c>
      <c r="M63">
        <f t="shared" si="1"/>
        <v>1</v>
      </c>
      <c r="N63">
        <f t="shared" si="2"/>
        <v>1</v>
      </c>
    </row>
    <row r="64" spans="1:14" x14ac:dyDescent="0.3">
      <c r="A64">
        <v>1074</v>
      </c>
      <c r="B64" t="s">
        <v>17</v>
      </c>
      <c r="C64" t="str">
        <f>PROPER(TRIM(B64))</f>
        <v>Charlie</v>
      </c>
      <c r="D64">
        <v>20</v>
      </c>
      <c r="E64" t="s">
        <v>13</v>
      </c>
      <c r="F64" t="s">
        <v>6</v>
      </c>
      <c r="G64" s="4">
        <v>1</v>
      </c>
      <c r="H64">
        <v>177.5</v>
      </c>
      <c r="I64" s="5">
        <v>45369</v>
      </c>
      <c r="J64" t="s">
        <v>79</v>
      </c>
      <c r="K64" t="s">
        <v>4</v>
      </c>
      <c r="L64">
        <f t="shared" si="0"/>
        <v>177.5</v>
      </c>
      <c r="M64">
        <f t="shared" si="1"/>
        <v>3</v>
      </c>
      <c r="N64">
        <f t="shared" si="2"/>
        <v>0</v>
      </c>
    </row>
    <row r="65" spans="1:14" x14ac:dyDescent="0.3">
      <c r="A65">
        <v>1020</v>
      </c>
      <c r="B65" t="s">
        <v>17</v>
      </c>
      <c r="C65" t="str">
        <f>PROPER(TRIM(B65))</f>
        <v>Charlie</v>
      </c>
      <c r="D65">
        <v>23</v>
      </c>
      <c r="E65" t="s">
        <v>1</v>
      </c>
      <c r="F65" t="s">
        <v>2</v>
      </c>
      <c r="G65" s="4">
        <v>2</v>
      </c>
      <c r="H65">
        <v>182.38</v>
      </c>
      <c r="I65" s="5">
        <v>45432</v>
      </c>
      <c r="J65" t="s">
        <v>80</v>
      </c>
      <c r="K65" t="s">
        <v>4</v>
      </c>
      <c r="L65">
        <f t="shared" si="0"/>
        <v>364.76</v>
      </c>
      <c r="M65">
        <f t="shared" si="1"/>
        <v>5</v>
      </c>
      <c r="N65">
        <f t="shared" si="2"/>
        <v>0</v>
      </c>
    </row>
    <row r="66" spans="1:14" x14ac:dyDescent="0.3">
      <c r="A66">
        <v>1073</v>
      </c>
      <c r="B66" t="s">
        <v>17</v>
      </c>
      <c r="C66" t="str">
        <f>PROPER(TRIM(B66))</f>
        <v>Charlie</v>
      </c>
      <c r="D66">
        <v>22</v>
      </c>
      <c r="E66" t="s">
        <v>13</v>
      </c>
      <c r="F66" t="s">
        <v>20</v>
      </c>
      <c r="G66" s="4">
        <v>2</v>
      </c>
      <c r="H66">
        <v>184.27</v>
      </c>
      <c r="I66" s="5">
        <v>45402</v>
      </c>
      <c r="J66" t="s">
        <v>81</v>
      </c>
      <c r="K66" t="s">
        <v>8</v>
      </c>
      <c r="L66">
        <f t="shared" ref="L66:L129" si="3">G66*H66</f>
        <v>368.54</v>
      </c>
      <c r="M66">
        <f t="shared" ref="M66:M129" si="4">MONTH(I66)</f>
        <v>4</v>
      </c>
      <c r="N66">
        <f t="shared" ref="N66:N129" si="5">IF(K66="Paid", 1, 0)</f>
        <v>1</v>
      </c>
    </row>
    <row r="67" spans="1:14" x14ac:dyDescent="0.3">
      <c r="A67">
        <v>1000</v>
      </c>
      <c r="B67" t="s">
        <v>30</v>
      </c>
      <c r="C67" t="str">
        <f>PROPER(TRIM(B67))</f>
        <v>Dana</v>
      </c>
      <c r="D67">
        <v>23</v>
      </c>
      <c r="E67" t="s">
        <v>23</v>
      </c>
      <c r="F67" t="s">
        <v>14</v>
      </c>
      <c r="G67" s="4">
        <v>5</v>
      </c>
      <c r="H67">
        <v>190.38</v>
      </c>
      <c r="I67" s="5">
        <v>45415</v>
      </c>
      <c r="J67" t="s">
        <v>82</v>
      </c>
      <c r="K67" t="s">
        <v>8</v>
      </c>
      <c r="L67">
        <f t="shared" si="3"/>
        <v>951.9</v>
      </c>
      <c r="M67">
        <f t="shared" si="4"/>
        <v>5</v>
      </c>
      <c r="N67">
        <f t="shared" si="5"/>
        <v>1</v>
      </c>
    </row>
    <row r="68" spans="1:14" x14ac:dyDescent="0.3">
      <c r="A68">
        <v>1002</v>
      </c>
      <c r="B68" t="s">
        <v>5</v>
      </c>
      <c r="C68" t="str">
        <f>PROPER(TRIM(B68))</f>
        <v>Bob</v>
      </c>
      <c r="D68">
        <v>21</v>
      </c>
      <c r="E68" t="s">
        <v>23</v>
      </c>
      <c r="F68" t="s">
        <v>14</v>
      </c>
      <c r="G68" s="4">
        <v>50</v>
      </c>
      <c r="H68">
        <v>194.33</v>
      </c>
      <c r="I68" s="5">
        <v>45416</v>
      </c>
      <c r="J68" t="s">
        <v>83</v>
      </c>
      <c r="K68" t="s">
        <v>4</v>
      </c>
      <c r="L68">
        <f t="shared" si="3"/>
        <v>9716.5</v>
      </c>
      <c r="M68">
        <f t="shared" si="4"/>
        <v>5</v>
      </c>
      <c r="N68">
        <f t="shared" si="5"/>
        <v>0</v>
      </c>
    </row>
    <row r="69" spans="1:14" x14ac:dyDescent="0.3">
      <c r="A69">
        <v>1062</v>
      </c>
      <c r="B69" t="s">
        <v>5</v>
      </c>
      <c r="C69" t="str">
        <f>PROPER(TRIM(B69))</f>
        <v>Bob</v>
      </c>
      <c r="D69">
        <v>20</v>
      </c>
      <c r="E69" t="s">
        <v>1</v>
      </c>
      <c r="F69" t="s">
        <v>6</v>
      </c>
      <c r="G69" s="4">
        <v>10</v>
      </c>
      <c r="H69">
        <v>194.94</v>
      </c>
      <c r="I69" s="5">
        <v>45472</v>
      </c>
      <c r="J69" t="s">
        <v>84</v>
      </c>
      <c r="K69" t="s">
        <v>4</v>
      </c>
      <c r="L69">
        <f t="shared" si="3"/>
        <v>1949.4</v>
      </c>
      <c r="M69">
        <f t="shared" si="4"/>
        <v>6</v>
      </c>
      <c r="N69">
        <f t="shared" si="5"/>
        <v>0</v>
      </c>
    </row>
    <row r="70" spans="1:14" x14ac:dyDescent="0.3">
      <c r="A70">
        <v>1014</v>
      </c>
      <c r="B70" t="s">
        <v>9</v>
      </c>
      <c r="C70" t="str">
        <f>PROPER(TRIM(B70))</f>
        <v>Evan</v>
      </c>
      <c r="D70">
        <v>21</v>
      </c>
      <c r="E70" t="s">
        <v>13</v>
      </c>
      <c r="F70" t="s">
        <v>2</v>
      </c>
      <c r="G70" s="4">
        <v>5</v>
      </c>
      <c r="H70">
        <v>196.67</v>
      </c>
      <c r="I70" s="5">
        <v>45443</v>
      </c>
      <c r="J70" t="s">
        <v>85</v>
      </c>
      <c r="K70" t="s">
        <v>11</v>
      </c>
      <c r="L70">
        <f t="shared" si="3"/>
        <v>983.34999999999991</v>
      </c>
      <c r="M70">
        <f t="shared" si="4"/>
        <v>5</v>
      </c>
      <c r="N70">
        <f t="shared" si="5"/>
        <v>0</v>
      </c>
    </row>
    <row r="71" spans="1:14" x14ac:dyDescent="0.3">
      <c r="A71">
        <v>1038</v>
      </c>
      <c r="B71" t="s">
        <v>25</v>
      </c>
      <c r="C71" t="str">
        <f>PROPER(TRIM(B71))</f>
        <v>Frank</v>
      </c>
      <c r="D71">
        <v>20</v>
      </c>
      <c r="E71" t="s">
        <v>1</v>
      </c>
      <c r="F71" t="s">
        <v>14</v>
      </c>
      <c r="G71" s="4">
        <v>5</v>
      </c>
      <c r="H71">
        <v>196.9</v>
      </c>
      <c r="I71" s="5">
        <v>45362</v>
      </c>
      <c r="J71" t="s">
        <v>86</v>
      </c>
      <c r="K71" t="s">
        <v>8</v>
      </c>
      <c r="L71">
        <f t="shared" si="3"/>
        <v>984.5</v>
      </c>
      <c r="M71">
        <f t="shared" si="4"/>
        <v>3</v>
      </c>
      <c r="N71">
        <f t="shared" si="5"/>
        <v>1</v>
      </c>
    </row>
    <row r="72" spans="1:14" x14ac:dyDescent="0.3">
      <c r="A72">
        <v>1061</v>
      </c>
      <c r="B72" t="s">
        <v>0</v>
      </c>
      <c r="C72" t="str">
        <f>PROPER(TRIM(B72))</f>
        <v>Alice</v>
      </c>
      <c r="D72">
        <v>20</v>
      </c>
      <c r="E72" t="s">
        <v>13</v>
      </c>
      <c r="F72" t="s">
        <v>20</v>
      </c>
      <c r="G72" s="4">
        <v>1</v>
      </c>
      <c r="H72">
        <v>198.07</v>
      </c>
      <c r="I72" s="5">
        <v>45320</v>
      </c>
      <c r="J72" t="s">
        <v>87</v>
      </c>
      <c r="K72" t="s">
        <v>11</v>
      </c>
      <c r="L72">
        <f t="shared" si="3"/>
        <v>198.07</v>
      </c>
      <c r="M72">
        <f t="shared" si="4"/>
        <v>1</v>
      </c>
      <c r="N72">
        <f t="shared" si="5"/>
        <v>0</v>
      </c>
    </row>
    <row r="73" spans="1:14" x14ac:dyDescent="0.3">
      <c r="A73">
        <v>1077</v>
      </c>
      <c r="B73" t="s">
        <v>5</v>
      </c>
      <c r="C73" t="str">
        <f>PROPER(TRIM(B73))</f>
        <v>Bob</v>
      </c>
      <c r="D73">
        <v>20</v>
      </c>
      <c r="E73" t="s">
        <v>13</v>
      </c>
      <c r="F73" t="s">
        <v>20</v>
      </c>
      <c r="G73" s="4">
        <v>4</v>
      </c>
      <c r="H73">
        <v>200.3</v>
      </c>
      <c r="I73" s="5">
        <v>45344</v>
      </c>
      <c r="J73" t="s">
        <v>88</v>
      </c>
      <c r="K73" t="s">
        <v>8</v>
      </c>
      <c r="L73">
        <f t="shared" si="3"/>
        <v>801.2</v>
      </c>
      <c r="M73">
        <f t="shared" si="4"/>
        <v>2</v>
      </c>
      <c r="N73">
        <f t="shared" si="5"/>
        <v>1</v>
      </c>
    </row>
    <row r="74" spans="1:14" x14ac:dyDescent="0.3">
      <c r="A74">
        <v>1057</v>
      </c>
      <c r="B74" t="s">
        <v>5</v>
      </c>
      <c r="C74" t="str">
        <f>PROPER(TRIM(B74))</f>
        <v>Bob</v>
      </c>
      <c r="D74">
        <v>22</v>
      </c>
      <c r="E74" t="s">
        <v>13</v>
      </c>
      <c r="F74" t="s">
        <v>2</v>
      </c>
      <c r="G74" s="4" t="s">
        <v>31</v>
      </c>
      <c r="H74">
        <v>205.71</v>
      </c>
      <c r="I74" s="5">
        <v>45463</v>
      </c>
      <c r="J74" t="s">
        <v>89</v>
      </c>
      <c r="K74" t="s">
        <v>11</v>
      </c>
      <c r="L74">
        <f t="shared" si="3"/>
        <v>1028.55</v>
      </c>
      <c r="M74">
        <f t="shared" si="4"/>
        <v>6</v>
      </c>
      <c r="N74">
        <f t="shared" si="5"/>
        <v>0</v>
      </c>
    </row>
    <row r="75" spans="1:14" x14ac:dyDescent="0.3">
      <c r="A75">
        <v>1026</v>
      </c>
      <c r="B75" t="s">
        <v>17</v>
      </c>
      <c r="C75" t="str">
        <f>PROPER(TRIM(B75))</f>
        <v>Charlie</v>
      </c>
      <c r="D75">
        <v>21</v>
      </c>
      <c r="E75" t="s">
        <v>23</v>
      </c>
      <c r="F75" t="s">
        <v>2</v>
      </c>
      <c r="G75" s="4">
        <v>4</v>
      </c>
      <c r="H75">
        <v>211.01</v>
      </c>
      <c r="I75" s="5">
        <v>45471</v>
      </c>
      <c r="J75" t="s">
        <v>90</v>
      </c>
      <c r="K75" t="s">
        <v>8</v>
      </c>
      <c r="L75">
        <f t="shared" si="3"/>
        <v>844.04</v>
      </c>
      <c r="M75">
        <f t="shared" si="4"/>
        <v>6</v>
      </c>
      <c r="N75">
        <f t="shared" si="5"/>
        <v>1</v>
      </c>
    </row>
    <row r="76" spans="1:14" x14ac:dyDescent="0.3">
      <c r="A76">
        <v>1088</v>
      </c>
      <c r="B76" t="s">
        <v>5</v>
      </c>
      <c r="C76" t="str">
        <f>PROPER(TRIM(B76))</f>
        <v>Bob</v>
      </c>
      <c r="D76">
        <v>23</v>
      </c>
      <c r="E76" t="s">
        <v>13</v>
      </c>
      <c r="F76" t="s">
        <v>20</v>
      </c>
      <c r="G76" s="4">
        <v>5</v>
      </c>
      <c r="H76">
        <v>217.33</v>
      </c>
      <c r="I76" s="5">
        <v>45569</v>
      </c>
      <c r="J76" t="s">
        <v>91</v>
      </c>
      <c r="K76" t="s">
        <v>8</v>
      </c>
      <c r="L76">
        <f t="shared" si="3"/>
        <v>1086.6500000000001</v>
      </c>
      <c r="M76">
        <f t="shared" si="4"/>
        <v>10</v>
      </c>
      <c r="N76">
        <f t="shared" si="5"/>
        <v>1</v>
      </c>
    </row>
    <row r="77" spans="1:14" x14ac:dyDescent="0.3">
      <c r="A77">
        <v>1004</v>
      </c>
      <c r="B77" t="s">
        <v>9</v>
      </c>
      <c r="C77" t="str">
        <f>PROPER(TRIM(B77))</f>
        <v>Evan</v>
      </c>
      <c r="D77">
        <v>23</v>
      </c>
      <c r="E77" t="s">
        <v>23</v>
      </c>
      <c r="F77" t="s">
        <v>20</v>
      </c>
      <c r="G77" s="4">
        <v>2</v>
      </c>
      <c r="H77">
        <v>219.51</v>
      </c>
      <c r="I77" s="5">
        <v>45365</v>
      </c>
      <c r="J77" t="s">
        <v>92</v>
      </c>
      <c r="K77" t="s">
        <v>8</v>
      </c>
      <c r="L77">
        <f t="shared" si="3"/>
        <v>439.02</v>
      </c>
      <c r="M77">
        <f t="shared" si="4"/>
        <v>3</v>
      </c>
      <c r="N77">
        <f t="shared" si="5"/>
        <v>1</v>
      </c>
    </row>
    <row r="78" spans="1:14" x14ac:dyDescent="0.3">
      <c r="A78">
        <v>1085</v>
      </c>
      <c r="B78" t="s">
        <v>5</v>
      </c>
      <c r="C78" t="str">
        <f>PROPER(TRIM(B78))</f>
        <v>Bob</v>
      </c>
      <c r="D78">
        <v>22</v>
      </c>
      <c r="E78" t="s">
        <v>23</v>
      </c>
      <c r="F78" t="s">
        <v>20</v>
      </c>
      <c r="G78" s="4">
        <v>1</v>
      </c>
      <c r="H78">
        <v>222.63</v>
      </c>
      <c r="I78" s="5">
        <v>45390</v>
      </c>
      <c r="J78" t="s">
        <v>93</v>
      </c>
      <c r="K78" t="s">
        <v>11</v>
      </c>
      <c r="L78">
        <f t="shared" si="3"/>
        <v>222.63</v>
      </c>
      <c r="M78">
        <f t="shared" si="4"/>
        <v>4</v>
      </c>
      <c r="N78">
        <f t="shared" si="5"/>
        <v>0</v>
      </c>
    </row>
    <row r="79" spans="1:14" x14ac:dyDescent="0.3">
      <c r="A79">
        <v>1089</v>
      </c>
      <c r="B79" t="s">
        <v>5</v>
      </c>
      <c r="C79" t="str">
        <f>PROPER(TRIM(B79))</f>
        <v>Bob</v>
      </c>
      <c r="D79">
        <v>20</v>
      </c>
      <c r="E79" t="s">
        <v>1</v>
      </c>
      <c r="F79" t="s">
        <v>6</v>
      </c>
      <c r="G79" s="4">
        <v>4</v>
      </c>
      <c r="H79">
        <v>222.84</v>
      </c>
      <c r="I79" s="5">
        <v>45352</v>
      </c>
      <c r="J79" t="s">
        <v>94</v>
      </c>
      <c r="K79" t="s">
        <v>8</v>
      </c>
      <c r="L79">
        <f t="shared" si="3"/>
        <v>891.36</v>
      </c>
      <c r="M79">
        <f t="shared" si="4"/>
        <v>3</v>
      </c>
      <c r="N79">
        <f t="shared" si="5"/>
        <v>1</v>
      </c>
    </row>
    <row r="80" spans="1:14" x14ac:dyDescent="0.3">
      <c r="A80">
        <v>1098</v>
      </c>
      <c r="B80" t="s">
        <v>17</v>
      </c>
      <c r="C80" t="str">
        <f>PROPER(TRIM(B80))</f>
        <v>Charlie</v>
      </c>
      <c r="D80">
        <v>21</v>
      </c>
      <c r="E80" t="s">
        <v>1</v>
      </c>
      <c r="F80" t="s">
        <v>20</v>
      </c>
      <c r="G80" s="4">
        <v>1</v>
      </c>
      <c r="H80">
        <v>226.03</v>
      </c>
      <c r="I80" s="5">
        <v>45314</v>
      </c>
      <c r="J80" t="s">
        <v>95</v>
      </c>
      <c r="K80" t="s">
        <v>8</v>
      </c>
      <c r="L80">
        <f t="shared" si="3"/>
        <v>226.03</v>
      </c>
      <c r="M80">
        <f t="shared" si="4"/>
        <v>1</v>
      </c>
      <c r="N80">
        <f t="shared" si="5"/>
        <v>1</v>
      </c>
    </row>
    <row r="81" spans="1:14" x14ac:dyDescent="0.3">
      <c r="A81">
        <v>1073</v>
      </c>
      <c r="B81" t="s">
        <v>30</v>
      </c>
      <c r="C81" t="str">
        <f>PROPER(TRIM(B81))</f>
        <v>Dana</v>
      </c>
      <c r="D81">
        <v>23</v>
      </c>
      <c r="E81" t="s">
        <v>13</v>
      </c>
      <c r="F81" t="s">
        <v>20</v>
      </c>
      <c r="G81" s="4">
        <v>1</v>
      </c>
      <c r="H81">
        <v>226.47</v>
      </c>
      <c r="I81" s="5">
        <v>45372</v>
      </c>
      <c r="J81" t="s">
        <v>96</v>
      </c>
      <c r="K81" t="s">
        <v>8</v>
      </c>
      <c r="L81">
        <f t="shared" si="3"/>
        <v>226.47</v>
      </c>
      <c r="M81">
        <f t="shared" si="4"/>
        <v>3</v>
      </c>
      <c r="N81">
        <f t="shared" si="5"/>
        <v>1</v>
      </c>
    </row>
    <row r="82" spans="1:14" x14ac:dyDescent="0.3">
      <c r="A82">
        <v>1056</v>
      </c>
      <c r="B82" t="s">
        <v>0</v>
      </c>
      <c r="C82" t="str">
        <f>PROPER(TRIM(B82))</f>
        <v>Alice</v>
      </c>
      <c r="D82">
        <v>23</v>
      </c>
      <c r="E82" t="s">
        <v>13</v>
      </c>
      <c r="F82" t="s">
        <v>14</v>
      </c>
      <c r="G82" s="4">
        <v>2</v>
      </c>
      <c r="H82">
        <v>228</v>
      </c>
      <c r="I82" s="5">
        <v>45450</v>
      </c>
      <c r="J82" t="s">
        <v>97</v>
      </c>
      <c r="K82" t="s">
        <v>8</v>
      </c>
      <c r="L82">
        <f t="shared" si="3"/>
        <v>456</v>
      </c>
      <c r="M82">
        <f t="shared" si="4"/>
        <v>6</v>
      </c>
      <c r="N82">
        <f t="shared" si="5"/>
        <v>1</v>
      </c>
    </row>
    <row r="83" spans="1:14" x14ac:dyDescent="0.3">
      <c r="A83">
        <v>1075</v>
      </c>
      <c r="B83" t="s">
        <v>25</v>
      </c>
      <c r="C83" t="str">
        <f>PROPER(TRIM(B83))</f>
        <v>Frank</v>
      </c>
      <c r="D83">
        <v>23</v>
      </c>
      <c r="E83" t="s">
        <v>13</v>
      </c>
      <c r="F83" t="s">
        <v>20</v>
      </c>
      <c r="G83" s="4">
        <v>10</v>
      </c>
      <c r="H83">
        <v>244.51</v>
      </c>
      <c r="I83" s="5">
        <v>45371</v>
      </c>
      <c r="J83" t="s">
        <v>98</v>
      </c>
      <c r="K83" t="s">
        <v>4</v>
      </c>
      <c r="L83">
        <f t="shared" si="3"/>
        <v>2445.1</v>
      </c>
      <c r="M83">
        <f t="shared" si="4"/>
        <v>3</v>
      </c>
      <c r="N83">
        <f t="shared" si="5"/>
        <v>0</v>
      </c>
    </row>
    <row r="84" spans="1:14" x14ac:dyDescent="0.3">
      <c r="A84">
        <v>1000</v>
      </c>
      <c r="B84" t="s">
        <v>30</v>
      </c>
      <c r="C84" t="str">
        <f>PROPER(TRIM(B84))</f>
        <v>Dana</v>
      </c>
      <c r="D84">
        <v>22</v>
      </c>
      <c r="E84" t="s">
        <v>13</v>
      </c>
      <c r="F84" t="s">
        <v>6</v>
      </c>
      <c r="G84" s="4">
        <v>1</v>
      </c>
      <c r="H84">
        <v>244.96</v>
      </c>
      <c r="I84" s="5">
        <v>45445</v>
      </c>
      <c r="J84" t="s">
        <v>99</v>
      </c>
      <c r="K84" t="s">
        <v>8</v>
      </c>
      <c r="L84">
        <f t="shared" si="3"/>
        <v>244.96</v>
      </c>
      <c r="M84">
        <f t="shared" si="4"/>
        <v>6</v>
      </c>
      <c r="N84">
        <f t="shared" si="5"/>
        <v>1</v>
      </c>
    </row>
    <row r="85" spans="1:14" x14ac:dyDescent="0.3">
      <c r="A85">
        <v>1038</v>
      </c>
      <c r="B85" t="s">
        <v>5</v>
      </c>
      <c r="C85" t="str">
        <f>PROPER(TRIM(B85))</f>
        <v>Bob</v>
      </c>
      <c r="D85">
        <v>21</v>
      </c>
      <c r="E85" t="s">
        <v>13</v>
      </c>
      <c r="F85" t="s">
        <v>14</v>
      </c>
      <c r="G85" s="4" t="s">
        <v>31</v>
      </c>
      <c r="H85">
        <v>249.03</v>
      </c>
      <c r="I85" s="5">
        <v>45414</v>
      </c>
      <c r="J85" t="s">
        <v>100</v>
      </c>
      <c r="K85" t="s">
        <v>8</v>
      </c>
      <c r="L85">
        <f t="shared" si="3"/>
        <v>1245.1500000000001</v>
      </c>
      <c r="M85">
        <f t="shared" si="4"/>
        <v>5</v>
      </c>
      <c r="N85">
        <f t="shared" si="5"/>
        <v>1</v>
      </c>
    </row>
    <row r="86" spans="1:14" x14ac:dyDescent="0.3">
      <c r="A86">
        <v>1082</v>
      </c>
      <c r="B86" t="s">
        <v>25</v>
      </c>
      <c r="C86" t="str">
        <f>PROPER(TRIM(B86))</f>
        <v>Frank</v>
      </c>
      <c r="D86">
        <v>21</v>
      </c>
      <c r="E86" t="s">
        <v>13</v>
      </c>
      <c r="F86" t="s">
        <v>20</v>
      </c>
      <c r="G86" s="4">
        <v>5</v>
      </c>
      <c r="H86">
        <v>250.68</v>
      </c>
      <c r="I86" s="5">
        <v>45387</v>
      </c>
      <c r="J86" t="s">
        <v>101</v>
      </c>
      <c r="K86" t="s">
        <v>4</v>
      </c>
      <c r="L86">
        <f t="shared" si="3"/>
        <v>1253.4000000000001</v>
      </c>
      <c r="M86">
        <f t="shared" si="4"/>
        <v>4</v>
      </c>
      <c r="N86">
        <f t="shared" si="5"/>
        <v>0</v>
      </c>
    </row>
    <row r="87" spans="1:14" x14ac:dyDescent="0.3">
      <c r="A87">
        <v>1031</v>
      </c>
      <c r="B87" t="s">
        <v>25</v>
      </c>
      <c r="C87" t="str">
        <f>PROPER(TRIM(B87))</f>
        <v>Frank</v>
      </c>
      <c r="D87">
        <v>23</v>
      </c>
      <c r="E87" t="s">
        <v>23</v>
      </c>
      <c r="F87" t="s">
        <v>2</v>
      </c>
      <c r="G87" s="4">
        <v>3</v>
      </c>
      <c r="H87">
        <v>254.16</v>
      </c>
      <c r="I87" s="5">
        <v>45428</v>
      </c>
      <c r="J87" t="s">
        <v>102</v>
      </c>
      <c r="K87" t="s">
        <v>11</v>
      </c>
      <c r="L87">
        <f t="shared" si="3"/>
        <v>762.48</v>
      </c>
      <c r="M87">
        <f t="shared" si="4"/>
        <v>5</v>
      </c>
      <c r="N87">
        <f t="shared" si="5"/>
        <v>0</v>
      </c>
    </row>
    <row r="88" spans="1:14" x14ac:dyDescent="0.3">
      <c r="A88">
        <v>1048</v>
      </c>
      <c r="B88" t="s">
        <v>25</v>
      </c>
      <c r="C88" t="str">
        <f>PROPER(TRIM(B88))</f>
        <v>Frank</v>
      </c>
      <c r="D88">
        <v>24</v>
      </c>
      <c r="E88" t="s">
        <v>13</v>
      </c>
      <c r="F88" t="s">
        <v>14</v>
      </c>
      <c r="G88" s="4">
        <v>5</v>
      </c>
      <c r="H88">
        <v>255.84</v>
      </c>
      <c r="I88" s="5">
        <v>45313</v>
      </c>
      <c r="J88" t="s">
        <v>103</v>
      </c>
      <c r="K88" t="s">
        <v>4</v>
      </c>
      <c r="L88">
        <f t="shared" si="3"/>
        <v>1279.2</v>
      </c>
      <c r="M88">
        <f t="shared" si="4"/>
        <v>1</v>
      </c>
      <c r="N88">
        <f t="shared" si="5"/>
        <v>0</v>
      </c>
    </row>
    <row r="89" spans="1:14" x14ac:dyDescent="0.3">
      <c r="A89">
        <v>1035</v>
      </c>
      <c r="B89" t="s">
        <v>25</v>
      </c>
      <c r="C89" t="str">
        <f>PROPER(TRIM(B89))</f>
        <v>Frank</v>
      </c>
      <c r="D89">
        <v>23</v>
      </c>
      <c r="E89" t="s">
        <v>1</v>
      </c>
      <c r="F89" t="s">
        <v>6</v>
      </c>
      <c r="G89" s="4">
        <v>1</v>
      </c>
      <c r="H89">
        <v>257.94</v>
      </c>
      <c r="I89" s="5">
        <v>45435</v>
      </c>
      <c r="J89" t="s">
        <v>104</v>
      </c>
      <c r="K89" t="s">
        <v>11</v>
      </c>
      <c r="L89">
        <f t="shared" si="3"/>
        <v>257.94</v>
      </c>
      <c r="M89">
        <f t="shared" si="4"/>
        <v>5</v>
      </c>
      <c r="N89">
        <f t="shared" si="5"/>
        <v>0</v>
      </c>
    </row>
    <row r="90" spans="1:14" x14ac:dyDescent="0.3">
      <c r="A90">
        <v>1035</v>
      </c>
      <c r="B90" t="s">
        <v>30</v>
      </c>
      <c r="C90" t="str">
        <f>PROPER(TRIM(B90))</f>
        <v>Dana</v>
      </c>
      <c r="D90">
        <v>23</v>
      </c>
      <c r="E90" t="s">
        <v>1</v>
      </c>
      <c r="F90" t="s">
        <v>6</v>
      </c>
      <c r="G90" s="4">
        <v>10</v>
      </c>
      <c r="H90">
        <v>258.52</v>
      </c>
      <c r="I90" s="5">
        <v>45308</v>
      </c>
      <c r="J90" t="s">
        <v>105</v>
      </c>
      <c r="K90" t="s">
        <v>8</v>
      </c>
      <c r="L90">
        <f t="shared" si="3"/>
        <v>2585.1999999999998</v>
      </c>
      <c r="M90">
        <f t="shared" si="4"/>
        <v>1</v>
      </c>
      <c r="N90">
        <f t="shared" si="5"/>
        <v>1</v>
      </c>
    </row>
    <row r="91" spans="1:14" x14ac:dyDescent="0.3">
      <c r="A91">
        <v>1015</v>
      </c>
      <c r="B91" t="s">
        <v>9</v>
      </c>
      <c r="C91" t="str">
        <f>PROPER(TRIM(B91))</f>
        <v>Evan</v>
      </c>
      <c r="D91">
        <v>23</v>
      </c>
      <c r="E91" t="s">
        <v>1</v>
      </c>
      <c r="F91" t="s">
        <v>20</v>
      </c>
      <c r="G91" s="4">
        <v>2</v>
      </c>
      <c r="H91">
        <v>259.07</v>
      </c>
      <c r="I91" s="5">
        <v>45448</v>
      </c>
      <c r="J91" t="s">
        <v>106</v>
      </c>
      <c r="K91" t="s">
        <v>11</v>
      </c>
      <c r="L91">
        <f t="shared" si="3"/>
        <v>518.14</v>
      </c>
      <c r="M91">
        <f t="shared" si="4"/>
        <v>6</v>
      </c>
      <c r="N91">
        <f t="shared" si="5"/>
        <v>0</v>
      </c>
    </row>
    <row r="92" spans="1:14" x14ac:dyDescent="0.3">
      <c r="A92">
        <v>1024</v>
      </c>
      <c r="B92" t="s">
        <v>30</v>
      </c>
      <c r="C92" t="str">
        <f>PROPER(TRIM(B92))</f>
        <v>Dana</v>
      </c>
      <c r="D92">
        <v>20</v>
      </c>
      <c r="E92" t="s">
        <v>1</v>
      </c>
      <c r="F92" t="s">
        <v>20</v>
      </c>
      <c r="G92" s="4">
        <v>10</v>
      </c>
      <c r="H92">
        <v>259.45999999999998</v>
      </c>
      <c r="I92" s="5">
        <v>45352</v>
      </c>
      <c r="J92" t="s">
        <v>107</v>
      </c>
      <c r="K92" t="s">
        <v>8</v>
      </c>
      <c r="L92">
        <f t="shared" si="3"/>
        <v>2594.6</v>
      </c>
      <c r="M92">
        <f t="shared" si="4"/>
        <v>3</v>
      </c>
      <c r="N92">
        <f t="shared" si="5"/>
        <v>1</v>
      </c>
    </row>
    <row r="93" spans="1:14" x14ac:dyDescent="0.3">
      <c r="A93">
        <v>1030</v>
      </c>
      <c r="B93" t="s">
        <v>0</v>
      </c>
      <c r="C93" t="str">
        <f>PROPER(TRIM(B93))</f>
        <v>Alice</v>
      </c>
      <c r="D93">
        <v>21</v>
      </c>
      <c r="E93" t="s">
        <v>13</v>
      </c>
      <c r="F93" t="s">
        <v>2</v>
      </c>
      <c r="G93" s="4">
        <v>50</v>
      </c>
      <c r="H93">
        <v>260.83999999999997</v>
      </c>
      <c r="I93" s="5">
        <v>45397</v>
      </c>
      <c r="J93" t="s">
        <v>108</v>
      </c>
      <c r="K93" t="s">
        <v>8</v>
      </c>
      <c r="L93">
        <f t="shared" si="3"/>
        <v>13041.999999999998</v>
      </c>
      <c r="M93">
        <f t="shared" si="4"/>
        <v>4</v>
      </c>
      <c r="N93">
        <f t="shared" si="5"/>
        <v>1</v>
      </c>
    </row>
    <row r="94" spans="1:14" x14ac:dyDescent="0.3">
      <c r="A94">
        <v>1032</v>
      </c>
      <c r="B94" t="s">
        <v>9</v>
      </c>
      <c r="C94" t="str">
        <f>PROPER(TRIM(B94))</f>
        <v>Evan</v>
      </c>
      <c r="D94">
        <v>24</v>
      </c>
      <c r="E94" t="s">
        <v>23</v>
      </c>
      <c r="F94" t="s">
        <v>14</v>
      </c>
      <c r="G94" s="4">
        <v>10</v>
      </c>
      <c r="H94">
        <v>262.19</v>
      </c>
      <c r="I94" s="5">
        <v>45422</v>
      </c>
      <c r="J94" t="s">
        <v>109</v>
      </c>
      <c r="K94" t="s">
        <v>8</v>
      </c>
      <c r="L94">
        <f t="shared" si="3"/>
        <v>2621.9</v>
      </c>
      <c r="M94">
        <f t="shared" si="4"/>
        <v>5</v>
      </c>
      <c r="N94">
        <f t="shared" si="5"/>
        <v>1</v>
      </c>
    </row>
    <row r="95" spans="1:14" x14ac:dyDescent="0.3">
      <c r="A95">
        <v>1026</v>
      </c>
      <c r="B95" t="s">
        <v>0</v>
      </c>
      <c r="C95" t="str">
        <f>PROPER(TRIM(B95))</f>
        <v>Alice</v>
      </c>
      <c r="D95">
        <v>21</v>
      </c>
      <c r="E95" t="s">
        <v>23</v>
      </c>
      <c r="F95" t="s">
        <v>6</v>
      </c>
      <c r="G95" s="4" t="s">
        <v>31</v>
      </c>
      <c r="H95">
        <v>263.11</v>
      </c>
      <c r="I95" s="5">
        <v>45382</v>
      </c>
      <c r="J95" t="s">
        <v>110</v>
      </c>
      <c r="K95" t="s">
        <v>8</v>
      </c>
      <c r="L95">
        <f t="shared" si="3"/>
        <v>1315.5500000000002</v>
      </c>
      <c r="M95">
        <f t="shared" si="4"/>
        <v>3</v>
      </c>
      <c r="N95">
        <f t="shared" si="5"/>
        <v>1</v>
      </c>
    </row>
    <row r="96" spans="1:14" x14ac:dyDescent="0.3">
      <c r="A96">
        <v>1081</v>
      </c>
      <c r="B96" t="s">
        <v>9</v>
      </c>
      <c r="C96" t="str">
        <f>PROPER(TRIM(B96))</f>
        <v>Evan</v>
      </c>
      <c r="D96">
        <v>23</v>
      </c>
      <c r="E96" t="s">
        <v>23</v>
      </c>
      <c r="F96" t="s">
        <v>2</v>
      </c>
      <c r="G96" s="4">
        <v>5</v>
      </c>
      <c r="H96">
        <v>264.5</v>
      </c>
      <c r="I96" s="5">
        <v>45316</v>
      </c>
      <c r="J96" t="s">
        <v>111</v>
      </c>
      <c r="K96" t="s">
        <v>4</v>
      </c>
      <c r="L96">
        <f t="shared" si="3"/>
        <v>1322.5</v>
      </c>
      <c r="M96">
        <f t="shared" si="4"/>
        <v>1</v>
      </c>
      <c r="N96">
        <f t="shared" si="5"/>
        <v>0</v>
      </c>
    </row>
    <row r="97" spans="1:14" x14ac:dyDescent="0.3">
      <c r="A97">
        <v>1089</v>
      </c>
      <c r="B97" t="s">
        <v>25</v>
      </c>
      <c r="C97" t="str">
        <f>PROPER(TRIM(B97))</f>
        <v>Frank</v>
      </c>
      <c r="D97">
        <v>24</v>
      </c>
      <c r="E97" t="s">
        <v>13</v>
      </c>
      <c r="F97" t="s">
        <v>2</v>
      </c>
      <c r="G97" s="4">
        <v>10</v>
      </c>
      <c r="H97">
        <v>267.06</v>
      </c>
      <c r="I97" s="5">
        <v>45462</v>
      </c>
      <c r="J97" t="s">
        <v>112</v>
      </c>
      <c r="K97" t="s">
        <v>11</v>
      </c>
      <c r="L97">
        <f t="shared" si="3"/>
        <v>2670.6</v>
      </c>
      <c r="M97">
        <f t="shared" si="4"/>
        <v>6</v>
      </c>
      <c r="N97">
        <f t="shared" si="5"/>
        <v>0</v>
      </c>
    </row>
    <row r="98" spans="1:14" x14ac:dyDescent="0.3">
      <c r="A98">
        <v>1035</v>
      </c>
      <c r="B98" t="s">
        <v>25</v>
      </c>
      <c r="C98" t="str">
        <f>PROPER(TRIM(B98))</f>
        <v>Frank</v>
      </c>
      <c r="D98">
        <v>20</v>
      </c>
      <c r="E98" t="s">
        <v>13</v>
      </c>
      <c r="F98" t="s">
        <v>6</v>
      </c>
      <c r="G98" s="4">
        <v>10</v>
      </c>
      <c r="H98">
        <v>271.02999999999997</v>
      </c>
      <c r="I98" s="5">
        <v>45305</v>
      </c>
      <c r="J98" t="s">
        <v>113</v>
      </c>
      <c r="K98" t="s">
        <v>8</v>
      </c>
      <c r="L98">
        <f t="shared" si="3"/>
        <v>2710.2999999999997</v>
      </c>
      <c r="M98">
        <f t="shared" si="4"/>
        <v>1</v>
      </c>
      <c r="N98">
        <f t="shared" si="5"/>
        <v>1</v>
      </c>
    </row>
    <row r="99" spans="1:14" x14ac:dyDescent="0.3">
      <c r="A99">
        <v>1028</v>
      </c>
      <c r="B99" t="s">
        <v>0</v>
      </c>
      <c r="C99" t="str">
        <f>PROPER(TRIM(B99))</f>
        <v>Alice</v>
      </c>
      <c r="D99">
        <v>23</v>
      </c>
      <c r="E99" t="s">
        <v>13</v>
      </c>
      <c r="F99" t="s">
        <v>14</v>
      </c>
      <c r="G99" s="4">
        <v>5</v>
      </c>
      <c r="H99">
        <v>281.86</v>
      </c>
      <c r="I99" s="5">
        <v>45304</v>
      </c>
      <c r="J99" t="s">
        <v>114</v>
      </c>
      <c r="K99" t="s">
        <v>11</v>
      </c>
      <c r="L99">
        <f t="shared" si="3"/>
        <v>1409.3000000000002</v>
      </c>
      <c r="M99">
        <f t="shared" si="4"/>
        <v>1</v>
      </c>
      <c r="N99">
        <f t="shared" si="5"/>
        <v>0</v>
      </c>
    </row>
    <row r="100" spans="1:14" x14ac:dyDescent="0.3">
      <c r="A100">
        <v>1012</v>
      </c>
      <c r="B100" t="s">
        <v>17</v>
      </c>
      <c r="C100" t="str">
        <f>PROPER(TRIM(B100))</f>
        <v>Charlie</v>
      </c>
      <c r="D100">
        <v>23</v>
      </c>
      <c r="E100" t="s">
        <v>23</v>
      </c>
      <c r="F100" t="s">
        <v>2</v>
      </c>
      <c r="G100" s="4">
        <v>50</v>
      </c>
      <c r="H100">
        <v>282.24</v>
      </c>
      <c r="I100" s="5">
        <v>45333</v>
      </c>
      <c r="J100" t="s">
        <v>115</v>
      </c>
      <c r="K100" t="s">
        <v>8</v>
      </c>
      <c r="L100">
        <f t="shared" si="3"/>
        <v>14112</v>
      </c>
      <c r="M100">
        <f t="shared" si="4"/>
        <v>2</v>
      </c>
      <c r="N100">
        <f t="shared" si="5"/>
        <v>1</v>
      </c>
    </row>
    <row r="101" spans="1:14" x14ac:dyDescent="0.3">
      <c r="A101">
        <v>1006</v>
      </c>
      <c r="B101" t="s">
        <v>9</v>
      </c>
      <c r="C101" t="str">
        <f>PROPER(TRIM(B101))</f>
        <v>Evan</v>
      </c>
      <c r="D101">
        <v>20</v>
      </c>
      <c r="E101" t="s">
        <v>1</v>
      </c>
      <c r="F101" t="s">
        <v>20</v>
      </c>
      <c r="G101" s="4">
        <v>10</v>
      </c>
      <c r="H101">
        <v>283.22000000000003</v>
      </c>
      <c r="I101" s="5">
        <v>45301</v>
      </c>
      <c r="J101" t="s">
        <v>116</v>
      </c>
      <c r="K101" t="s">
        <v>8</v>
      </c>
      <c r="L101">
        <f t="shared" si="3"/>
        <v>2832.2000000000003</v>
      </c>
      <c r="M101">
        <f t="shared" si="4"/>
        <v>1</v>
      </c>
      <c r="N101">
        <f t="shared" si="5"/>
        <v>1</v>
      </c>
    </row>
    <row r="102" spans="1:14" x14ac:dyDescent="0.3">
      <c r="A102">
        <v>1018</v>
      </c>
      <c r="B102" t="s">
        <v>5</v>
      </c>
      <c r="C102" t="str">
        <f>PROPER(TRIM(B102))</f>
        <v>Bob</v>
      </c>
      <c r="D102">
        <v>24</v>
      </c>
      <c r="E102" t="s">
        <v>13</v>
      </c>
      <c r="F102" t="s">
        <v>14</v>
      </c>
      <c r="G102" s="4">
        <v>5</v>
      </c>
      <c r="H102">
        <v>284.57</v>
      </c>
      <c r="I102" s="5">
        <v>45340</v>
      </c>
      <c r="J102" t="s">
        <v>117</v>
      </c>
      <c r="K102" t="s">
        <v>11</v>
      </c>
      <c r="L102">
        <f t="shared" si="3"/>
        <v>1422.85</v>
      </c>
      <c r="M102">
        <f t="shared" si="4"/>
        <v>2</v>
      </c>
      <c r="N102">
        <f t="shared" si="5"/>
        <v>0</v>
      </c>
    </row>
    <row r="103" spans="1:14" x14ac:dyDescent="0.3">
      <c r="A103">
        <v>1057</v>
      </c>
      <c r="B103" t="s">
        <v>9</v>
      </c>
      <c r="C103" t="str">
        <f>PROPER(TRIM(B103))</f>
        <v>Evan</v>
      </c>
      <c r="D103">
        <v>21</v>
      </c>
      <c r="E103" t="s">
        <v>1</v>
      </c>
      <c r="F103" t="s">
        <v>6</v>
      </c>
      <c r="G103" s="4">
        <v>50</v>
      </c>
      <c r="H103">
        <v>286.26</v>
      </c>
      <c r="I103" s="5">
        <v>45302</v>
      </c>
      <c r="J103" t="s">
        <v>118</v>
      </c>
      <c r="K103" t="s">
        <v>8</v>
      </c>
      <c r="L103">
        <f t="shared" si="3"/>
        <v>14313</v>
      </c>
      <c r="M103">
        <f t="shared" si="4"/>
        <v>1</v>
      </c>
      <c r="N103">
        <f t="shared" si="5"/>
        <v>1</v>
      </c>
    </row>
    <row r="104" spans="1:14" x14ac:dyDescent="0.3">
      <c r="A104">
        <v>1038</v>
      </c>
      <c r="B104" t="s">
        <v>17</v>
      </c>
      <c r="C104" t="str">
        <f>PROPER(TRIM(B104))</f>
        <v>Charlie</v>
      </c>
      <c r="D104">
        <v>24</v>
      </c>
      <c r="E104" t="s">
        <v>13</v>
      </c>
      <c r="F104" t="s">
        <v>20</v>
      </c>
      <c r="G104" s="4">
        <v>2</v>
      </c>
      <c r="H104">
        <v>287.16000000000003</v>
      </c>
      <c r="I104" s="5">
        <v>45401</v>
      </c>
      <c r="J104" t="s">
        <v>119</v>
      </c>
      <c r="K104" t="s">
        <v>8</v>
      </c>
      <c r="L104">
        <f t="shared" si="3"/>
        <v>574.32000000000005</v>
      </c>
      <c r="M104">
        <f t="shared" si="4"/>
        <v>4</v>
      </c>
      <c r="N104">
        <f t="shared" si="5"/>
        <v>1</v>
      </c>
    </row>
    <row r="105" spans="1:14" x14ac:dyDescent="0.3">
      <c r="A105">
        <v>1044</v>
      </c>
      <c r="B105" t="s">
        <v>9</v>
      </c>
      <c r="C105" t="str">
        <f>PROPER(TRIM(B105))</f>
        <v>Evan</v>
      </c>
      <c r="D105">
        <v>23</v>
      </c>
      <c r="E105" t="s">
        <v>1</v>
      </c>
      <c r="F105" t="s">
        <v>2</v>
      </c>
      <c r="G105" s="4">
        <v>5</v>
      </c>
      <c r="H105">
        <v>288.66000000000003</v>
      </c>
      <c r="I105" s="5">
        <v>45429</v>
      </c>
      <c r="J105" t="s">
        <v>120</v>
      </c>
      <c r="K105" t="s">
        <v>4</v>
      </c>
      <c r="L105">
        <f t="shared" si="3"/>
        <v>1443.3000000000002</v>
      </c>
      <c r="M105">
        <f t="shared" si="4"/>
        <v>5</v>
      </c>
      <c r="N105">
        <f t="shared" si="5"/>
        <v>0</v>
      </c>
    </row>
    <row r="106" spans="1:14" x14ac:dyDescent="0.3">
      <c r="A106">
        <v>1098</v>
      </c>
      <c r="B106" t="s">
        <v>17</v>
      </c>
      <c r="C106" t="str">
        <f>PROPER(TRIM(B106))</f>
        <v>Charlie</v>
      </c>
      <c r="D106">
        <v>24</v>
      </c>
      <c r="E106" t="s">
        <v>13</v>
      </c>
      <c r="F106" t="s">
        <v>2</v>
      </c>
      <c r="G106" s="4">
        <v>4</v>
      </c>
      <c r="H106">
        <v>289.67</v>
      </c>
      <c r="I106" s="5">
        <v>45327</v>
      </c>
      <c r="J106" t="s">
        <v>121</v>
      </c>
      <c r="K106" t="s">
        <v>8</v>
      </c>
      <c r="L106">
        <f t="shared" si="3"/>
        <v>1158.68</v>
      </c>
      <c r="M106">
        <f t="shared" si="4"/>
        <v>2</v>
      </c>
      <c r="N106">
        <f t="shared" si="5"/>
        <v>1</v>
      </c>
    </row>
    <row r="107" spans="1:14" x14ac:dyDescent="0.3">
      <c r="A107">
        <v>1091</v>
      </c>
      <c r="B107" t="s">
        <v>25</v>
      </c>
      <c r="C107" t="str">
        <f>PROPER(TRIM(B107))</f>
        <v>Frank</v>
      </c>
      <c r="D107">
        <v>23</v>
      </c>
      <c r="E107" t="s">
        <v>13</v>
      </c>
      <c r="F107" t="s">
        <v>2</v>
      </c>
      <c r="G107" s="4">
        <v>50</v>
      </c>
      <c r="H107">
        <v>290.41000000000003</v>
      </c>
      <c r="I107" s="5">
        <v>45467</v>
      </c>
      <c r="J107" t="s">
        <v>122</v>
      </c>
      <c r="K107" t="s">
        <v>8</v>
      </c>
      <c r="L107">
        <f t="shared" si="3"/>
        <v>14520.500000000002</v>
      </c>
      <c r="M107">
        <f t="shared" si="4"/>
        <v>6</v>
      </c>
      <c r="N107">
        <f t="shared" si="5"/>
        <v>1</v>
      </c>
    </row>
    <row r="108" spans="1:14" x14ac:dyDescent="0.3">
      <c r="A108">
        <v>1037</v>
      </c>
      <c r="B108" t="s">
        <v>5</v>
      </c>
      <c r="C108" t="str">
        <f>PROPER(TRIM(B108))</f>
        <v>Bob</v>
      </c>
      <c r="D108">
        <v>20</v>
      </c>
      <c r="E108" t="s">
        <v>23</v>
      </c>
      <c r="F108" t="s">
        <v>6</v>
      </c>
      <c r="G108" s="4">
        <v>2</v>
      </c>
      <c r="H108">
        <v>294.45</v>
      </c>
      <c r="I108" s="5">
        <v>45423</v>
      </c>
      <c r="J108" t="s">
        <v>123</v>
      </c>
      <c r="K108" t="s">
        <v>8</v>
      </c>
      <c r="L108">
        <f t="shared" si="3"/>
        <v>588.9</v>
      </c>
      <c r="M108">
        <f t="shared" si="4"/>
        <v>5</v>
      </c>
      <c r="N108">
        <f t="shared" si="5"/>
        <v>1</v>
      </c>
    </row>
    <row r="109" spans="1:14" x14ac:dyDescent="0.3">
      <c r="A109">
        <v>1099</v>
      </c>
      <c r="B109" t="s">
        <v>17</v>
      </c>
      <c r="C109" t="str">
        <f>PROPER(TRIM(B109))</f>
        <v>Charlie</v>
      </c>
      <c r="D109">
        <v>24</v>
      </c>
      <c r="E109" t="s">
        <v>23</v>
      </c>
      <c r="F109" t="s">
        <v>14</v>
      </c>
      <c r="G109" s="4">
        <v>5</v>
      </c>
      <c r="H109">
        <v>294.7</v>
      </c>
      <c r="I109" s="5">
        <v>45337</v>
      </c>
      <c r="J109" t="s">
        <v>124</v>
      </c>
      <c r="K109" t="s">
        <v>8</v>
      </c>
      <c r="L109">
        <f t="shared" si="3"/>
        <v>1473.5</v>
      </c>
      <c r="M109">
        <f t="shared" si="4"/>
        <v>2</v>
      </c>
      <c r="N109">
        <f t="shared" si="5"/>
        <v>1</v>
      </c>
    </row>
    <row r="110" spans="1:14" x14ac:dyDescent="0.3">
      <c r="A110">
        <v>1056</v>
      </c>
      <c r="B110" t="s">
        <v>25</v>
      </c>
      <c r="C110" t="str">
        <f>PROPER(TRIM(B110))</f>
        <v>Frank</v>
      </c>
      <c r="D110">
        <v>20</v>
      </c>
      <c r="E110" t="s">
        <v>1</v>
      </c>
      <c r="F110" t="s">
        <v>14</v>
      </c>
      <c r="G110" s="4">
        <v>10</v>
      </c>
      <c r="H110">
        <v>300.27999999999997</v>
      </c>
      <c r="I110" s="5">
        <v>45358</v>
      </c>
      <c r="J110" t="s">
        <v>125</v>
      </c>
      <c r="K110" t="s">
        <v>11</v>
      </c>
      <c r="L110">
        <f t="shared" si="3"/>
        <v>3002.7999999999997</v>
      </c>
      <c r="M110">
        <f t="shared" si="4"/>
        <v>3</v>
      </c>
      <c r="N110">
        <f t="shared" si="5"/>
        <v>0</v>
      </c>
    </row>
    <row r="111" spans="1:14" x14ac:dyDescent="0.3">
      <c r="A111">
        <v>1017</v>
      </c>
      <c r="B111" t="s">
        <v>25</v>
      </c>
      <c r="C111" t="str">
        <f>PROPER(TRIM(B111))</f>
        <v>Frank</v>
      </c>
      <c r="D111">
        <v>24</v>
      </c>
      <c r="E111" t="s">
        <v>23</v>
      </c>
      <c r="F111" t="s">
        <v>6</v>
      </c>
      <c r="G111" s="4">
        <v>5</v>
      </c>
      <c r="H111">
        <v>301.29000000000002</v>
      </c>
      <c r="I111" s="5">
        <v>45440</v>
      </c>
      <c r="J111" t="s">
        <v>126</v>
      </c>
      <c r="K111" t="s">
        <v>8</v>
      </c>
      <c r="L111">
        <f t="shared" si="3"/>
        <v>1506.45</v>
      </c>
      <c r="M111">
        <f t="shared" si="4"/>
        <v>5</v>
      </c>
      <c r="N111">
        <f t="shared" si="5"/>
        <v>1</v>
      </c>
    </row>
    <row r="112" spans="1:14" x14ac:dyDescent="0.3">
      <c r="A112">
        <v>1013</v>
      </c>
      <c r="B112" t="s">
        <v>17</v>
      </c>
      <c r="C112" t="str">
        <f>PROPER(TRIM(B112))</f>
        <v>Charlie</v>
      </c>
      <c r="D112">
        <v>23</v>
      </c>
      <c r="E112" t="s">
        <v>13</v>
      </c>
      <c r="F112" t="s">
        <v>20</v>
      </c>
      <c r="G112" s="4">
        <v>3</v>
      </c>
      <c r="H112">
        <v>301.93</v>
      </c>
      <c r="I112" s="5">
        <v>45629</v>
      </c>
      <c r="J112" t="s">
        <v>127</v>
      </c>
      <c r="K112" t="s">
        <v>4</v>
      </c>
      <c r="L112">
        <f t="shared" si="3"/>
        <v>905.79</v>
      </c>
      <c r="M112">
        <f t="shared" si="4"/>
        <v>12</v>
      </c>
      <c r="N112">
        <f t="shared" si="5"/>
        <v>0</v>
      </c>
    </row>
    <row r="113" spans="1:14" x14ac:dyDescent="0.3">
      <c r="A113">
        <v>1055</v>
      </c>
      <c r="B113" t="s">
        <v>0</v>
      </c>
      <c r="C113" t="str">
        <f>PROPER(TRIM(B113))</f>
        <v>Alice</v>
      </c>
      <c r="D113">
        <v>20</v>
      </c>
      <c r="E113" t="s">
        <v>13</v>
      </c>
      <c r="F113" t="s">
        <v>20</v>
      </c>
      <c r="G113" s="4">
        <v>10</v>
      </c>
      <c r="H113">
        <v>303.24</v>
      </c>
      <c r="I113" s="5">
        <v>45422</v>
      </c>
      <c r="J113" t="s">
        <v>128</v>
      </c>
      <c r="K113" t="s">
        <v>8</v>
      </c>
      <c r="L113">
        <f t="shared" si="3"/>
        <v>3032.4</v>
      </c>
      <c r="M113">
        <f t="shared" si="4"/>
        <v>5</v>
      </c>
      <c r="N113">
        <f t="shared" si="5"/>
        <v>1</v>
      </c>
    </row>
    <row r="114" spans="1:14" x14ac:dyDescent="0.3">
      <c r="A114">
        <v>1091</v>
      </c>
      <c r="B114" t="s">
        <v>0</v>
      </c>
      <c r="C114" t="str">
        <f>PROPER(TRIM(B114))</f>
        <v>Alice</v>
      </c>
      <c r="D114">
        <v>22</v>
      </c>
      <c r="E114" t="s">
        <v>1</v>
      </c>
      <c r="F114" t="s">
        <v>14</v>
      </c>
      <c r="G114" s="4">
        <v>5</v>
      </c>
      <c r="H114">
        <v>306.91000000000003</v>
      </c>
      <c r="I114" s="5">
        <v>45460</v>
      </c>
      <c r="J114" t="s">
        <v>129</v>
      </c>
      <c r="K114" t="s">
        <v>4</v>
      </c>
      <c r="L114">
        <f t="shared" si="3"/>
        <v>1534.5500000000002</v>
      </c>
      <c r="M114">
        <f t="shared" si="4"/>
        <v>6</v>
      </c>
      <c r="N114">
        <f t="shared" si="5"/>
        <v>0</v>
      </c>
    </row>
    <row r="115" spans="1:14" x14ac:dyDescent="0.3">
      <c r="A115">
        <v>1018</v>
      </c>
      <c r="B115" t="s">
        <v>17</v>
      </c>
      <c r="C115" t="str">
        <f>PROPER(TRIM(B115))</f>
        <v>Charlie</v>
      </c>
      <c r="D115">
        <v>24</v>
      </c>
      <c r="E115" t="s">
        <v>13</v>
      </c>
      <c r="F115" t="s">
        <v>20</v>
      </c>
      <c r="G115" s="4">
        <v>10</v>
      </c>
      <c r="H115">
        <v>307.08999999999997</v>
      </c>
      <c r="I115" s="5">
        <v>45335</v>
      </c>
      <c r="J115" t="s">
        <v>130</v>
      </c>
      <c r="K115" t="s">
        <v>8</v>
      </c>
      <c r="L115">
        <f t="shared" si="3"/>
        <v>3070.8999999999996</v>
      </c>
      <c r="M115">
        <f t="shared" si="4"/>
        <v>2</v>
      </c>
      <c r="N115">
        <f t="shared" si="5"/>
        <v>1</v>
      </c>
    </row>
    <row r="116" spans="1:14" x14ac:dyDescent="0.3">
      <c r="A116">
        <v>1030</v>
      </c>
      <c r="B116" t="s">
        <v>17</v>
      </c>
      <c r="C116" t="str">
        <f>PROPER(TRIM(B116))</f>
        <v>Charlie</v>
      </c>
      <c r="D116">
        <v>23</v>
      </c>
      <c r="E116" t="s">
        <v>23</v>
      </c>
      <c r="F116" t="s">
        <v>20</v>
      </c>
      <c r="G116" s="4">
        <v>1</v>
      </c>
      <c r="H116">
        <v>315.62</v>
      </c>
      <c r="I116" s="5">
        <v>45444</v>
      </c>
      <c r="J116" t="s">
        <v>131</v>
      </c>
      <c r="K116" t="s">
        <v>8</v>
      </c>
      <c r="L116">
        <f t="shared" si="3"/>
        <v>315.62</v>
      </c>
      <c r="M116">
        <f t="shared" si="4"/>
        <v>6</v>
      </c>
      <c r="N116">
        <f t="shared" si="5"/>
        <v>1</v>
      </c>
    </row>
    <row r="117" spans="1:14" x14ac:dyDescent="0.3">
      <c r="A117">
        <v>1064</v>
      </c>
      <c r="B117" t="s">
        <v>9</v>
      </c>
      <c r="C117" t="str">
        <f>PROPER(TRIM(B117))</f>
        <v>Evan</v>
      </c>
      <c r="D117">
        <v>23</v>
      </c>
      <c r="E117" t="s">
        <v>13</v>
      </c>
      <c r="F117" t="s">
        <v>20</v>
      </c>
      <c r="G117" s="4">
        <v>50</v>
      </c>
      <c r="H117">
        <v>317.48</v>
      </c>
      <c r="I117" s="5">
        <v>45477</v>
      </c>
      <c r="J117" t="s">
        <v>132</v>
      </c>
      <c r="K117" t="s">
        <v>11</v>
      </c>
      <c r="L117">
        <f t="shared" si="3"/>
        <v>15874</v>
      </c>
      <c r="M117">
        <f t="shared" si="4"/>
        <v>7</v>
      </c>
      <c r="N117">
        <f t="shared" si="5"/>
        <v>0</v>
      </c>
    </row>
    <row r="118" spans="1:14" x14ac:dyDescent="0.3">
      <c r="A118">
        <v>1067</v>
      </c>
      <c r="B118" t="s">
        <v>0</v>
      </c>
      <c r="C118" t="str">
        <f>PROPER(TRIM(B118))</f>
        <v>Alice</v>
      </c>
      <c r="D118">
        <v>23</v>
      </c>
      <c r="E118" t="s">
        <v>1</v>
      </c>
      <c r="F118" t="s">
        <v>14</v>
      </c>
      <c r="G118" s="4">
        <v>5</v>
      </c>
      <c r="H118">
        <v>318.77</v>
      </c>
      <c r="I118" s="5">
        <v>45302</v>
      </c>
      <c r="J118" t="s">
        <v>133</v>
      </c>
      <c r="K118" t="s">
        <v>11</v>
      </c>
      <c r="L118">
        <f t="shared" si="3"/>
        <v>1593.85</v>
      </c>
      <c r="M118">
        <f t="shared" si="4"/>
        <v>1</v>
      </c>
      <c r="N118">
        <f t="shared" si="5"/>
        <v>0</v>
      </c>
    </row>
    <row r="119" spans="1:14" x14ac:dyDescent="0.3">
      <c r="A119">
        <v>1018</v>
      </c>
      <c r="B119" t="s">
        <v>0</v>
      </c>
      <c r="C119" t="str">
        <f>PROPER(TRIM(B119))</f>
        <v>Alice</v>
      </c>
      <c r="D119">
        <v>23</v>
      </c>
      <c r="E119" t="s">
        <v>23</v>
      </c>
      <c r="F119" t="s">
        <v>6</v>
      </c>
      <c r="G119" s="4">
        <v>10</v>
      </c>
      <c r="H119">
        <v>319.25</v>
      </c>
      <c r="I119" s="5">
        <v>45437</v>
      </c>
      <c r="J119" t="s">
        <v>134</v>
      </c>
      <c r="K119" t="s">
        <v>11</v>
      </c>
      <c r="L119">
        <f t="shared" si="3"/>
        <v>3192.5</v>
      </c>
      <c r="M119">
        <f t="shared" si="4"/>
        <v>5</v>
      </c>
      <c r="N119">
        <f t="shared" si="5"/>
        <v>0</v>
      </c>
    </row>
    <row r="120" spans="1:14" x14ac:dyDescent="0.3">
      <c r="A120">
        <v>1019</v>
      </c>
      <c r="B120" t="s">
        <v>0</v>
      </c>
      <c r="C120" t="str">
        <f>PROPER(TRIM(B120))</f>
        <v>Alice</v>
      </c>
      <c r="D120">
        <v>21</v>
      </c>
      <c r="E120" t="s">
        <v>1</v>
      </c>
      <c r="F120" t="s">
        <v>14</v>
      </c>
      <c r="G120" s="4" t="s">
        <v>31</v>
      </c>
      <c r="H120">
        <v>323.29000000000002</v>
      </c>
      <c r="I120" s="5">
        <v>45438</v>
      </c>
      <c r="J120" t="s">
        <v>135</v>
      </c>
      <c r="K120" t="s">
        <v>8</v>
      </c>
      <c r="L120">
        <f t="shared" si="3"/>
        <v>1616.45</v>
      </c>
      <c r="M120">
        <f t="shared" si="4"/>
        <v>5</v>
      </c>
      <c r="N120">
        <f t="shared" si="5"/>
        <v>1</v>
      </c>
    </row>
    <row r="121" spans="1:14" x14ac:dyDescent="0.3">
      <c r="A121">
        <v>1009</v>
      </c>
      <c r="B121" t="s">
        <v>0</v>
      </c>
      <c r="C121" t="str">
        <f>PROPER(TRIM(B121))</f>
        <v>Alice</v>
      </c>
      <c r="D121">
        <v>20</v>
      </c>
      <c r="E121" t="s">
        <v>13</v>
      </c>
      <c r="F121" t="s">
        <v>20</v>
      </c>
      <c r="G121" s="4" t="s">
        <v>31</v>
      </c>
      <c r="H121">
        <v>330.32</v>
      </c>
      <c r="I121" s="5">
        <v>45309</v>
      </c>
      <c r="J121" t="s">
        <v>136</v>
      </c>
      <c r="K121" t="s">
        <v>8</v>
      </c>
      <c r="L121">
        <f t="shared" si="3"/>
        <v>1651.6</v>
      </c>
      <c r="M121">
        <f t="shared" si="4"/>
        <v>1</v>
      </c>
      <c r="N121">
        <f t="shared" si="5"/>
        <v>1</v>
      </c>
    </row>
    <row r="122" spans="1:14" x14ac:dyDescent="0.3">
      <c r="A122">
        <v>1089</v>
      </c>
      <c r="B122" t="s">
        <v>5</v>
      </c>
      <c r="C122" t="str">
        <f>PROPER(TRIM(B122))</f>
        <v>Bob</v>
      </c>
      <c r="D122">
        <v>20</v>
      </c>
      <c r="E122" t="s">
        <v>23</v>
      </c>
      <c r="F122" t="s">
        <v>2</v>
      </c>
      <c r="G122" s="4">
        <v>5</v>
      </c>
      <c r="H122">
        <v>333.4</v>
      </c>
      <c r="I122" s="5">
        <v>45299</v>
      </c>
      <c r="J122" t="s">
        <v>137</v>
      </c>
      <c r="K122" t="s">
        <v>11</v>
      </c>
      <c r="L122">
        <f t="shared" si="3"/>
        <v>1667</v>
      </c>
      <c r="M122">
        <f t="shared" si="4"/>
        <v>1</v>
      </c>
      <c r="N122">
        <f t="shared" si="5"/>
        <v>0</v>
      </c>
    </row>
    <row r="123" spans="1:14" x14ac:dyDescent="0.3">
      <c r="A123">
        <v>1007</v>
      </c>
      <c r="B123" t="s">
        <v>30</v>
      </c>
      <c r="C123" t="str">
        <f>PROPER(TRIM(B123))</f>
        <v>Dana</v>
      </c>
      <c r="D123">
        <v>23</v>
      </c>
      <c r="E123" t="s">
        <v>13</v>
      </c>
      <c r="F123" t="s">
        <v>2</v>
      </c>
      <c r="G123" s="4">
        <v>5</v>
      </c>
      <c r="H123">
        <v>341.41</v>
      </c>
      <c r="I123" s="5">
        <v>45388</v>
      </c>
      <c r="J123" t="s">
        <v>138</v>
      </c>
      <c r="K123" t="s">
        <v>11</v>
      </c>
      <c r="L123">
        <f t="shared" si="3"/>
        <v>1707.0500000000002</v>
      </c>
      <c r="M123">
        <f t="shared" si="4"/>
        <v>4</v>
      </c>
      <c r="N123">
        <f t="shared" si="5"/>
        <v>0</v>
      </c>
    </row>
    <row r="124" spans="1:14" x14ac:dyDescent="0.3">
      <c r="A124">
        <v>1013</v>
      </c>
      <c r="B124" t="s">
        <v>9</v>
      </c>
      <c r="C124" t="str">
        <f>PROPER(TRIM(B124))</f>
        <v>Evan</v>
      </c>
      <c r="D124">
        <v>20</v>
      </c>
      <c r="E124" t="s">
        <v>13</v>
      </c>
      <c r="F124" t="s">
        <v>14</v>
      </c>
      <c r="G124" s="4">
        <v>4</v>
      </c>
      <c r="H124">
        <v>343.18</v>
      </c>
      <c r="I124" s="5">
        <v>45442</v>
      </c>
      <c r="J124" t="s">
        <v>139</v>
      </c>
      <c r="K124" t="s">
        <v>4</v>
      </c>
      <c r="L124">
        <f t="shared" si="3"/>
        <v>1372.72</v>
      </c>
      <c r="M124">
        <f t="shared" si="4"/>
        <v>5</v>
      </c>
      <c r="N124">
        <f t="shared" si="5"/>
        <v>0</v>
      </c>
    </row>
    <row r="125" spans="1:14" x14ac:dyDescent="0.3">
      <c r="A125">
        <v>1073</v>
      </c>
      <c r="B125" t="s">
        <v>5</v>
      </c>
      <c r="C125" t="str">
        <f>PROPER(TRIM(B125))</f>
        <v>Bob</v>
      </c>
      <c r="D125">
        <v>24</v>
      </c>
      <c r="E125" t="s">
        <v>23</v>
      </c>
      <c r="F125" t="s">
        <v>14</v>
      </c>
      <c r="G125" s="4">
        <v>1</v>
      </c>
      <c r="H125">
        <v>345.64</v>
      </c>
      <c r="I125" s="5">
        <v>45452</v>
      </c>
      <c r="J125" t="s">
        <v>140</v>
      </c>
      <c r="K125" t="s">
        <v>4</v>
      </c>
      <c r="L125">
        <f t="shared" si="3"/>
        <v>345.64</v>
      </c>
      <c r="M125">
        <f t="shared" si="4"/>
        <v>6</v>
      </c>
      <c r="N125">
        <f t="shared" si="5"/>
        <v>0</v>
      </c>
    </row>
    <row r="126" spans="1:14" x14ac:dyDescent="0.3">
      <c r="A126">
        <v>1048</v>
      </c>
      <c r="B126" t="s">
        <v>17</v>
      </c>
      <c r="C126" t="str">
        <f>PROPER(TRIM(B126))</f>
        <v>Charlie</v>
      </c>
      <c r="D126">
        <v>23</v>
      </c>
      <c r="E126" t="s">
        <v>23</v>
      </c>
      <c r="F126" t="s">
        <v>14</v>
      </c>
      <c r="G126" s="4">
        <v>10</v>
      </c>
      <c r="H126">
        <v>347.95</v>
      </c>
      <c r="I126" s="5">
        <v>45336</v>
      </c>
      <c r="J126" t="s">
        <v>141</v>
      </c>
      <c r="K126" t="s">
        <v>4</v>
      </c>
      <c r="L126">
        <f t="shared" si="3"/>
        <v>3479.5</v>
      </c>
      <c r="M126">
        <f t="shared" si="4"/>
        <v>2</v>
      </c>
      <c r="N126">
        <f t="shared" si="5"/>
        <v>0</v>
      </c>
    </row>
    <row r="127" spans="1:14" x14ac:dyDescent="0.3">
      <c r="A127">
        <v>1037</v>
      </c>
      <c r="B127" t="s">
        <v>30</v>
      </c>
      <c r="C127" t="str">
        <f>PROPER(TRIM(B127))</f>
        <v>Dana</v>
      </c>
      <c r="D127">
        <v>23</v>
      </c>
      <c r="E127" t="s">
        <v>23</v>
      </c>
      <c r="F127" t="s">
        <v>20</v>
      </c>
      <c r="G127" s="4">
        <v>10</v>
      </c>
      <c r="H127">
        <v>354.22</v>
      </c>
      <c r="I127" s="5">
        <v>45386</v>
      </c>
      <c r="J127" t="s">
        <v>142</v>
      </c>
      <c r="K127" t="s">
        <v>11</v>
      </c>
      <c r="L127">
        <f t="shared" si="3"/>
        <v>3542.2000000000003</v>
      </c>
      <c r="M127">
        <f t="shared" si="4"/>
        <v>4</v>
      </c>
      <c r="N127">
        <f t="shared" si="5"/>
        <v>0</v>
      </c>
    </row>
    <row r="128" spans="1:14" x14ac:dyDescent="0.3">
      <c r="A128">
        <v>1086</v>
      </c>
      <c r="B128" t="s">
        <v>5</v>
      </c>
      <c r="C128" t="str">
        <f>PROPER(TRIM(B128))</f>
        <v>Bob</v>
      </c>
      <c r="D128">
        <v>23</v>
      </c>
      <c r="E128" t="s">
        <v>13</v>
      </c>
      <c r="F128" t="s">
        <v>20</v>
      </c>
      <c r="G128" s="4">
        <v>4</v>
      </c>
      <c r="H128">
        <v>356.21</v>
      </c>
      <c r="I128" s="5">
        <v>45449</v>
      </c>
      <c r="J128" t="s">
        <v>143</v>
      </c>
      <c r="K128" t="s">
        <v>4</v>
      </c>
      <c r="L128">
        <f t="shared" si="3"/>
        <v>1424.84</v>
      </c>
      <c r="M128">
        <f t="shared" si="4"/>
        <v>6</v>
      </c>
      <c r="N128">
        <f t="shared" si="5"/>
        <v>0</v>
      </c>
    </row>
    <row r="129" spans="1:14" x14ac:dyDescent="0.3">
      <c r="A129">
        <v>1022</v>
      </c>
      <c r="B129" t="s">
        <v>17</v>
      </c>
      <c r="C129" t="str">
        <f>PROPER(TRIM(B129))</f>
        <v>Charlie</v>
      </c>
      <c r="D129">
        <v>21</v>
      </c>
      <c r="E129" t="s">
        <v>1</v>
      </c>
      <c r="F129" t="s">
        <v>14</v>
      </c>
      <c r="G129" s="4">
        <v>5</v>
      </c>
      <c r="H129">
        <v>363.07</v>
      </c>
      <c r="I129" s="5">
        <v>45325</v>
      </c>
      <c r="J129" t="s">
        <v>144</v>
      </c>
      <c r="K129" t="s">
        <v>11</v>
      </c>
      <c r="L129">
        <f t="shared" si="3"/>
        <v>1815.35</v>
      </c>
      <c r="M129">
        <f t="shared" si="4"/>
        <v>2</v>
      </c>
      <c r="N129">
        <f t="shared" si="5"/>
        <v>0</v>
      </c>
    </row>
    <row r="130" spans="1:14" x14ac:dyDescent="0.3">
      <c r="A130">
        <v>1015</v>
      </c>
      <c r="B130" t="s">
        <v>30</v>
      </c>
      <c r="C130" t="str">
        <f>PROPER(TRIM(B130))</f>
        <v>Dana</v>
      </c>
      <c r="D130">
        <v>22</v>
      </c>
      <c r="E130" t="s">
        <v>13</v>
      </c>
      <c r="F130" t="s">
        <v>2</v>
      </c>
      <c r="G130" s="4">
        <v>5</v>
      </c>
      <c r="H130">
        <v>364.55</v>
      </c>
      <c r="I130" s="5">
        <v>45348</v>
      </c>
      <c r="J130" t="s">
        <v>145</v>
      </c>
      <c r="K130" t="s">
        <v>8</v>
      </c>
      <c r="L130">
        <f t="shared" ref="L130:L193" si="6">G130*H130</f>
        <v>1822.75</v>
      </c>
      <c r="M130">
        <f t="shared" ref="M130:M193" si="7">MONTH(I130)</f>
        <v>2</v>
      </c>
      <c r="N130">
        <f t="shared" ref="N130:N193" si="8">IF(K130="Paid", 1, 0)</f>
        <v>1</v>
      </c>
    </row>
    <row r="131" spans="1:14" x14ac:dyDescent="0.3">
      <c r="A131">
        <v>1049</v>
      </c>
      <c r="B131" t="s">
        <v>5</v>
      </c>
      <c r="C131" t="str">
        <f>PROPER(TRIM(B131))</f>
        <v>Bob</v>
      </c>
      <c r="D131">
        <v>23</v>
      </c>
      <c r="E131" t="s">
        <v>23</v>
      </c>
      <c r="F131" t="s">
        <v>14</v>
      </c>
      <c r="G131" s="4">
        <v>10</v>
      </c>
      <c r="H131">
        <v>368.86</v>
      </c>
      <c r="I131" s="5">
        <v>45381</v>
      </c>
      <c r="J131" t="s">
        <v>146</v>
      </c>
      <c r="K131" t="s">
        <v>8</v>
      </c>
      <c r="L131">
        <f t="shared" si="6"/>
        <v>3688.6000000000004</v>
      </c>
      <c r="M131">
        <f t="shared" si="7"/>
        <v>3</v>
      </c>
      <c r="N131">
        <f t="shared" si="8"/>
        <v>1</v>
      </c>
    </row>
    <row r="132" spans="1:14" x14ac:dyDescent="0.3">
      <c r="A132">
        <v>1024</v>
      </c>
      <c r="B132" t="s">
        <v>25</v>
      </c>
      <c r="C132" t="str">
        <f>PROPER(TRIM(B132))</f>
        <v>Frank</v>
      </c>
      <c r="D132">
        <v>20</v>
      </c>
      <c r="E132" t="s">
        <v>1</v>
      </c>
      <c r="F132" t="s">
        <v>14</v>
      </c>
      <c r="G132" s="4">
        <v>4</v>
      </c>
      <c r="H132">
        <v>371.72</v>
      </c>
      <c r="I132" s="5">
        <v>45421</v>
      </c>
      <c r="J132" t="s">
        <v>147</v>
      </c>
      <c r="K132" t="s">
        <v>8</v>
      </c>
      <c r="L132">
        <f t="shared" si="6"/>
        <v>1486.88</v>
      </c>
      <c r="M132">
        <f t="shared" si="7"/>
        <v>5</v>
      </c>
      <c r="N132">
        <f t="shared" si="8"/>
        <v>1</v>
      </c>
    </row>
    <row r="133" spans="1:14" x14ac:dyDescent="0.3">
      <c r="A133">
        <v>1011</v>
      </c>
      <c r="B133" t="s">
        <v>0</v>
      </c>
      <c r="C133" t="str">
        <f>PROPER(TRIM(B133))</f>
        <v>Alice</v>
      </c>
      <c r="D133">
        <v>23</v>
      </c>
      <c r="E133" t="s">
        <v>13</v>
      </c>
      <c r="F133" t="s">
        <v>6</v>
      </c>
      <c r="G133" s="4">
        <v>10</v>
      </c>
      <c r="H133">
        <v>374.85</v>
      </c>
      <c r="I133" s="5">
        <v>45452</v>
      </c>
      <c r="J133" t="s">
        <v>148</v>
      </c>
      <c r="K133" t="s">
        <v>8</v>
      </c>
      <c r="L133">
        <f t="shared" si="6"/>
        <v>3748.5</v>
      </c>
      <c r="M133">
        <f t="shared" si="7"/>
        <v>6</v>
      </c>
      <c r="N133">
        <f t="shared" si="8"/>
        <v>1</v>
      </c>
    </row>
    <row r="134" spans="1:14" x14ac:dyDescent="0.3">
      <c r="A134">
        <v>1075</v>
      </c>
      <c r="B134" t="s">
        <v>9</v>
      </c>
      <c r="C134" t="str">
        <f>PROPER(TRIM(B134))</f>
        <v>Evan</v>
      </c>
      <c r="D134">
        <v>24</v>
      </c>
      <c r="E134" t="s">
        <v>13</v>
      </c>
      <c r="F134" t="s">
        <v>14</v>
      </c>
      <c r="G134" s="4">
        <v>10</v>
      </c>
      <c r="H134">
        <v>375.93</v>
      </c>
      <c r="I134" s="5">
        <v>45456</v>
      </c>
      <c r="J134" t="s">
        <v>149</v>
      </c>
      <c r="K134" t="s">
        <v>8</v>
      </c>
      <c r="L134">
        <f t="shared" si="6"/>
        <v>3759.3</v>
      </c>
      <c r="M134">
        <f t="shared" si="7"/>
        <v>6</v>
      </c>
      <c r="N134">
        <f t="shared" si="8"/>
        <v>1</v>
      </c>
    </row>
    <row r="135" spans="1:14" x14ac:dyDescent="0.3">
      <c r="A135">
        <v>1076</v>
      </c>
      <c r="B135" t="s">
        <v>30</v>
      </c>
      <c r="C135" t="str">
        <f>PROPER(TRIM(B135))</f>
        <v>Dana</v>
      </c>
      <c r="D135">
        <v>24</v>
      </c>
      <c r="E135" t="s">
        <v>1</v>
      </c>
      <c r="F135" t="s">
        <v>20</v>
      </c>
      <c r="G135" s="4">
        <v>50</v>
      </c>
      <c r="H135">
        <v>375.99</v>
      </c>
      <c r="I135" s="5">
        <v>45417</v>
      </c>
      <c r="J135" t="s">
        <v>150</v>
      </c>
      <c r="K135" t="s">
        <v>8</v>
      </c>
      <c r="L135">
        <f t="shared" si="6"/>
        <v>18799.5</v>
      </c>
      <c r="M135">
        <f t="shared" si="7"/>
        <v>5</v>
      </c>
      <c r="N135">
        <f t="shared" si="8"/>
        <v>1</v>
      </c>
    </row>
    <row r="136" spans="1:14" x14ac:dyDescent="0.3">
      <c r="A136">
        <v>1057</v>
      </c>
      <c r="B136" t="s">
        <v>30</v>
      </c>
      <c r="C136" t="str">
        <f>PROPER(TRIM(B136))</f>
        <v>Dana</v>
      </c>
      <c r="D136">
        <v>21</v>
      </c>
      <c r="E136" t="s">
        <v>13</v>
      </c>
      <c r="F136" t="s">
        <v>2</v>
      </c>
      <c r="G136" s="4" t="s">
        <v>31</v>
      </c>
      <c r="H136">
        <v>379.07</v>
      </c>
      <c r="I136" s="5">
        <v>45410</v>
      </c>
      <c r="J136" t="s">
        <v>151</v>
      </c>
      <c r="K136" t="s">
        <v>8</v>
      </c>
      <c r="L136">
        <f t="shared" si="6"/>
        <v>1895.35</v>
      </c>
      <c r="M136">
        <f t="shared" si="7"/>
        <v>4</v>
      </c>
      <c r="N136">
        <f t="shared" si="8"/>
        <v>1</v>
      </c>
    </row>
    <row r="137" spans="1:14" x14ac:dyDescent="0.3">
      <c r="A137">
        <v>1060</v>
      </c>
      <c r="B137" t="s">
        <v>9</v>
      </c>
      <c r="C137" t="str">
        <f>PROPER(TRIM(B137))</f>
        <v>Evan</v>
      </c>
      <c r="D137">
        <v>20</v>
      </c>
      <c r="E137" t="s">
        <v>1</v>
      </c>
      <c r="F137" t="s">
        <v>6</v>
      </c>
      <c r="G137" s="4">
        <v>1</v>
      </c>
      <c r="H137">
        <v>380.26</v>
      </c>
      <c r="I137" s="5">
        <v>45339</v>
      </c>
      <c r="J137" t="s">
        <v>152</v>
      </c>
      <c r="K137" t="s">
        <v>11</v>
      </c>
      <c r="L137">
        <f t="shared" si="6"/>
        <v>380.26</v>
      </c>
      <c r="M137">
        <f t="shared" si="7"/>
        <v>2</v>
      </c>
      <c r="N137">
        <f t="shared" si="8"/>
        <v>0</v>
      </c>
    </row>
    <row r="138" spans="1:14" x14ac:dyDescent="0.3">
      <c r="A138">
        <v>1036</v>
      </c>
      <c r="B138" t="s">
        <v>0</v>
      </c>
      <c r="C138" t="str">
        <f>PROPER(TRIM(B138))</f>
        <v>Alice</v>
      </c>
      <c r="D138">
        <v>23</v>
      </c>
      <c r="E138" t="s">
        <v>13</v>
      </c>
      <c r="F138" t="s">
        <v>2</v>
      </c>
      <c r="G138" s="4">
        <v>5</v>
      </c>
      <c r="H138">
        <v>380.85</v>
      </c>
      <c r="I138" s="5">
        <v>45322</v>
      </c>
      <c r="J138" t="s">
        <v>153</v>
      </c>
      <c r="K138" t="s">
        <v>8</v>
      </c>
      <c r="L138">
        <f t="shared" si="6"/>
        <v>1904.25</v>
      </c>
      <c r="M138">
        <f t="shared" si="7"/>
        <v>1</v>
      </c>
      <c r="N138">
        <f t="shared" si="8"/>
        <v>1</v>
      </c>
    </row>
    <row r="139" spans="1:14" x14ac:dyDescent="0.3">
      <c r="A139">
        <v>1091</v>
      </c>
      <c r="B139" t="s">
        <v>9</v>
      </c>
      <c r="C139" t="str">
        <f>PROPER(TRIM(B139))</f>
        <v>Evan</v>
      </c>
      <c r="D139">
        <v>23</v>
      </c>
      <c r="E139" t="s">
        <v>13</v>
      </c>
      <c r="F139" t="s">
        <v>2</v>
      </c>
      <c r="G139" s="4">
        <v>50</v>
      </c>
      <c r="H139">
        <v>385.63</v>
      </c>
      <c r="I139" s="5">
        <v>45418</v>
      </c>
      <c r="J139" t="s">
        <v>154</v>
      </c>
      <c r="K139" t="s">
        <v>11</v>
      </c>
      <c r="L139">
        <f t="shared" si="6"/>
        <v>19281.5</v>
      </c>
      <c r="M139">
        <f t="shared" si="7"/>
        <v>5</v>
      </c>
      <c r="N139">
        <f t="shared" si="8"/>
        <v>0</v>
      </c>
    </row>
    <row r="140" spans="1:14" x14ac:dyDescent="0.3">
      <c r="A140">
        <v>1072</v>
      </c>
      <c r="B140" t="s">
        <v>17</v>
      </c>
      <c r="C140" t="str">
        <f>PROPER(TRIM(B140))</f>
        <v>Charlie</v>
      </c>
      <c r="D140">
        <v>23</v>
      </c>
      <c r="E140" t="s">
        <v>23</v>
      </c>
      <c r="F140" t="s">
        <v>2</v>
      </c>
      <c r="G140" s="4">
        <v>2</v>
      </c>
      <c r="H140">
        <v>386.54</v>
      </c>
      <c r="I140" s="5">
        <v>45310</v>
      </c>
      <c r="J140" t="s">
        <v>155</v>
      </c>
      <c r="K140" t="s">
        <v>8</v>
      </c>
      <c r="L140">
        <f t="shared" si="6"/>
        <v>773.08</v>
      </c>
      <c r="M140">
        <f t="shared" si="7"/>
        <v>1</v>
      </c>
      <c r="N140">
        <f t="shared" si="8"/>
        <v>1</v>
      </c>
    </row>
    <row r="141" spans="1:14" x14ac:dyDescent="0.3">
      <c r="A141">
        <v>1023</v>
      </c>
      <c r="B141" t="s">
        <v>25</v>
      </c>
      <c r="C141" t="str">
        <f>PROPER(TRIM(B141))</f>
        <v>Frank</v>
      </c>
      <c r="D141">
        <v>23</v>
      </c>
      <c r="E141" t="s">
        <v>13</v>
      </c>
      <c r="F141" t="s">
        <v>2</v>
      </c>
      <c r="G141" s="4" t="s">
        <v>31</v>
      </c>
      <c r="H141">
        <v>387.12</v>
      </c>
      <c r="I141" s="5">
        <v>45457</v>
      </c>
      <c r="J141" t="s">
        <v>156</v>
      </c>
      <c r="K141" t="s">
        <v>8</v>
      </c>
      <c r="L141">
        <f t="shared" si="6"/>
        <v>1935.6</v>
      </c>
      <c r="M141">
        <f t="shared" si="7"/>
        <v>6</v>
      </c>
      <c r="N141">
        <f t="shared" si="8"/>
        <v>1</v>
      </c>
    </row>
    <row r="142" spans="1:14" x14ac:dyDescent="0.3">
      <c r="A142">
        <v>1016</v>
      </c>
      <c r="B142" t="s">
        <v>25</v>
      </c>
      <c r="C142" t="str">
        <f>PROPER(TRIM(B142))</f>
        <v>Frank</v>
      </c>
      <c r="D142">
        <v>23</v>
      </c>
      <c r="E142" t="s">
        <v>13</v>
      </c>
      <c r="F142" t="s">
        <v>20</v>
      </c>
      <c r="G142" s="4">
        <v>3</v>
      </c>
      <c r="H142">
        <v>389.16</v>
      </c>
      <c r="I142" s="5">
        <v>45374</v>
      </c>
      <c r="J142" t="s">
        <v>157</v>
      </c>
      <c r="K142" t="s">
        <v>8</v>
      </c>
      <c r="L142">
        <f t="shared" si="6"/>
        <v>1167.48</v>
      </c>
      <c r="M142">
        <f t="shared" si="7"/>
        <v>3</v>
      </c>
      <c r="N142">
        <f t="shared" si="8"/>
        <v>1</v>
      </c>
    </row>
    <row r="143" spans="1:14" x14ac:dyDescent="0.3">
      <c r="A143">
        <v>1038</v>
      </c>
      <c r="B143" t="s">
        <v>0</v>
      </c>
      <c r="C143" t="str">
        <f>PROPER(TRIM(B143))</f>
        <v>Alice</v>
      </c>
      <c r="D143">
        <v>23</v>
      </c>
      <c r="E143" t="s">
        <v>23</v>
      </c>
      <c r="F143" t="s">
        <v>20</v>
      </c>
      <c r="G143" s="4">
        <v>50</v>
      </c>
      <c r="H143">
        <v>390.49</v>
      </c>
      <c r="I143" s="5">
        <v>45359</v>
      </c>
      <c r="J143" t="s">
        <v>158</v>
      </c>
      <c r="K143" t="s">
        <v>8</v>
      </c>
      <c r="L143">
        <f t="shared" si="6"/>
        <v>19524.5</v>
      </c>
      <c r="M143">
        <f t="shared" si="7"/>
        <v>3</v>
      </c>
      <c r="N143">
        <f t="shared" si="8"/>
        <v>1</v>
      </c>
    </row>
    <row r="144" spans="1:14" x14ac:dyDescent="0.3">
      <c r="A144">
        <v>1095</v>
      </c>
      <c r="B144" t="s">
        <v>5</v>
      </c>
      <c r="C144" t="str">
        <f>PROPER(TRIM(B144))</f>
        <v>Bob</v>
      </c>
      <c r="D144">
        <v>23</v>
      </c>
      <c r="E144" t="s">
        <v>13</v>
      </c>
      <c r="F144" t="s">
        <v>2</v>
      </c>
      <c r="G144" s="4">
        <v>5</v>
      </c>
      <c r="H144">
        <v>390.68</v>
      </c>
      <c r="I144" s="5">
        <v>45453</v>
      </c>
      <c r="J144" t="s">
        <v>159</v>
      </c>
      <c r="K144" t="s">
        <v>8</v>
      </c>
      <c r="L144">
        <f t="shared" si="6"/>
        <v>1953.4</v>
      </c>
      <c r="M144">
        <f t="shared" si="7"/>
        <v>6</v>
      </c>
      <c r="N144">
        <f t="shared" si="8"/>
        <v>1</v>
      </c>
    </row>
    <row r="145" spans="1:14" x14ac:dyDescent="0.3">
      <c r="A145">
        <v>1060</v>
      </c>
      <c r="B145" t="s">
        <v>30</v>
      </c>
      <c r="C145" t="str">
        <f>PROPER(TRIM(B145))</f>
        <v>Dana</v>
      </c>
      <c r="D145">
        <v>20</v>
      </c>
      <c r="E145" t="s">
        <v>23</v>
      </c>
      <c r="F145" t="s">
        <v>6</v>
      </c>
      <c r="G145" s="4">
        <v>5</v>
      </c>
      <c r="H145">
        <v>392.04</v>
      </c>
      <c r="I145" s="5">
        <v>45413</v>
      </c>
      <c r="J145" t="s">
        <v>160</v>
      </c>
      <c r="K145" t="s">
        <v>8</v>
      </c>
      <c r="L145">
        <f t="shared" si="6"/>
        <v>1960.2</v>
      </c>
      <c r="M145">
        <f t="shared" si="7"/>
        <v>5</v>
      </c>
      <c r="N145">
        <f t="shared" si="8"/>
        <v>1</v>
      </c>
    </row>
    <row r="146" spans="1:14" x14ac:dyDescent="0.3">
      <c r="A146">
        <v>1012</v>
      </c>
      <c r="B146" t="s">
        <v>0</v>
      </c>
      <c r="C146" t="str">
        <f>PROPER(TRIM(B146))</f>
        <v>Alice</v>
      </c>
      <c r="D146">
        <v>20</v>
      </c>
      <c r="E146" t="s">
        <v>13</v>
      </c>
      <c r="F146" t="s">
        <v>20</v>
      </c>
      <c r="G146" s="4">
        <v>1</v>
      </c>
      <c r="H146">
        <v>396.88</v>
      </c>
      <c r="I146" s="5">
        <v>45377</v>
      </c>
      <c r="J146" t="s">
        <v>161</v>
      </c>
      <c r="K146" t="s">
        <v>8</v>
      </c>
      <c r="L146">
        <f t="shared" si="6"/>
        <v>396.88</v>
      </c>
      <c r="M146">
        <f t="shared" si="7"/>
        <v>3</v>
      </c>
      <c r="N146">
        <f t="shared" si="8"/>
        <v>1</v>
      </c>
    </row>
    <row r="147" spans="1:14" x14ac:dyDescent="0.3">
      <c r="A147">
        <v>1008</v>
      </c>
      <c r="B147" t="s">
        <v>25</v>
      </c>
      <c r="C147" t="str">
        <f>PROPER(TRIM(B147))</f>
        <v>Frank</v>
      </c>
      <c r="D147">
        <v>22</v>
      </c>
      <c r="E147" t="s">
        <v>1</v>
      </c>
      <c r="F147" t="s">
        <v>6</v>
      </c>
      <c r="G147" s="4">
        <v>10</v>
      </c>
      <c r="H147">
        <v>396.94</v>
      </c>
      <c r="I147" s="5">
        <v>45380</v>
      </c>
      <c r="J147" t="s">
        <v>162</v>
      </c>
      <c r="K147" t="s">
        <v>11</v>
      </c>
      <c r="L147">
        <f t="shared" si="6"/>
        <v>3969.4</v>
      </c>
      <c r="M147">
        <f t="shared" si="7"/>
        <v>3</v>
      </c>
      <c r="N147">
        <f t="shared" si="8"/>
        <v>0</v>
      </c>
    </row>
    <row r="148" spans="1:14" x14ac:dyDescent="0.3">
      <c r="A148">
        <v>1018</v>
      </c>
      <c r="B148" t="s">
        <v>0</v>
      </c>
      <c r="C148" t="str">
        <f>PROPER(TRIM(B148))</f>
        <v>Alice</v>
      </c>
      <c r="D148">
        <v>23</v>
      </c>
      <c r="E148" t="s">
        <v>1</v>
      </c>
      <c r="F148" t="s">
        <v>20</v>
      </c>
      <c r="G148" s="4">
        <v>50</v>
      </c>
      <c r="H148">
        <v>397.77</v>
      </c>
      <c r="I148" s="5">
        <v>45404</v>
      </c>
      <c r="J148" t="s">
        <v>163</v>
      </c>
      <c r="K148" t="s">
        <v>8</v>
      </c>
      <c r="L148">
        <f t="shared" si="6"/>
        <v>19888.5</v>
      </c>
      <c r="M148">
        <f t="shared" si="7"/>
        <v>4</v>
      </c>
      <c r="N148">
        <f t="shared" si="8"/>
        <v>1</v>
      </c>
    </row>
    <row r="149" spans="1:14" x14ac:dyDescent="0.3">
      <c r="A149">
        <v>1059</v>
      </c>
      <c r="B149" t="s">
        <v>30</v>
      </c>
      <c r="C149" t="str">
        <f>PROPER(TRIM(B149))</f>
        <v>Dana</v>
      </c>
      <c r="D149">
        <v>22</v>
      </c>
      <c r="E149" t="s">
        <v>13</v>
      </c>
      <c r="F149" t="s">
        <v>6</v>
      </c>
      <c r="G149" s="4" t="s">
        <v>31</v>
      </c>
      <c r="H149">
        <v>399.11</v>
      </c>
      <c r="I149" s="5">
        <v>45464</v>
      </c>
      <c r="J149" t="s">
        <v>164</v>
      </c>
      <c r="K149" t="s">
        <v>8</v>
      </c>
      <c r="L149">
        <f t="shared" si="6"/>
        <v>1995.5500000000002</v>
      </c>
      <c r="M149">
        <f t="shared" si="7"/>
        <v>6</v>
      </c>
      <c r="N149">
        <f t="shared" si="8"/>
        <v>1</v>
      </c>
    </row>
    <row r="150" spans="1:14" x14ac:dyDescent="0.3">
      <c r="A150">
        <v>1006</v>
      </c>
      <c r="B150" t="s">
        <v>0</v>
      </c>
      <c r="C150" t="str">
        <f>PROPER(TRIM(B150))</f>
        <v>Alice</v>
      </c>
      <c r="D150">
        <v>22</v>
      </c>
      <c r="E150" t="s">
        <v>23</v>
      </c>
      <c r="F150" t="s">
        <v>2</v>
      </c>
      <c r="G150" s="4" t="s">
        <v>31</v>
      </c>
      <c r="H150">
        <v>404.96</v>
      </c>
      <c r="I150" s="5">
        <v>45375</v>
      </c>
      <c r="J150" t="s">
        <v>165</v>
      </c>
      <c r="K150" t="s">
        <v>8</v>
      </c>
      <c r="L150">
        <f t="shared" si="6"/>
        <v>2024.8</v>
      </c>
      <c r="M150">
        <f t="shared" si="7"/>
        <v>3</v>
      </c>
      <c r="N150">
        <f t="shared" si="8"/>
        <v>1</v>
      </c>
    </row>
    <row r="151" spans="1:14" x14ac:dyDescent="0.3">
      <c r="A151">
        <v>1046</v>
      </c>
      <c r="B151" t="s">
        <v>17</v>
      </c>
      <c r="C151" t="str">
        <f>PROPER(TRIM(B151))</f>
        <v>Charlie</v>
      </c>
      <c r="D151">
        <v>22</v>
      </c>
      <c r="E151" t="s">
        <v>13</v>
      </c>
      <c r="F151" t="s">
        <v>20</v>
      </c>
      <c r="G151" s="4">
        <v>50</v>
      </c>
      <c r="H151">
        <v>408.56</v>
      </c>
      <c r="I151" s="5">
        <v>45431</v>
      </c>
      <c r="J151" t="s">
        <v>166</v>
      </c>
      <c r="K151" t="s">
        <v>8</v>
      </c>
      <c r="L151">
        <f t="shared" si="6"/>
        <v>20428</v>
      </c>
      <c r="M151">
        <f t="shared" si="7"/>
        <v>5</v>
      </c>
      <c r="N151">
        <f t="shared" si="8"/>
        <v>1</v>
      </c>
    </row>
    <row r="152" spans="1:14" x14ac:dyDescent="0.3">
      <c r="A152">
        <v>1073</v>
      </c>
      <c r="B152" t="s">
        <v>0</v>
      </c>
      <c r="C152" t="str">
        <f>PROPER(TRIM(B152))</f>
        <v>Alice</v>
      </c>
      <c r="D152">
        <v>20</v>
      </c>
      <c r="E152" t="s">
        <v>23</v>
      </c>
      <c r="F152" t="s">
        <v>14</v>
      </c>
      <c r="G152" s="4">
        <v>1</v>
      </c>
      <c r="H152">
        <v>410.35</v>
      </c>
      <c r="I152" s="5">
        <v>45298</v>
      </c>
      <c r="J152" t="s">
        <v>167</v>
      </c>
      <c r="K152" t="s">
        <v>8</v>
      </c>
      <c r="L152">
        <f t="shared" si="6"/>
        <v>410.35</v>
      </c>
      <c r="M152">
        <f t="shared" si="7"/>
        <v>1</v>
      </c>
      <c r="N152">
        <f t="shared" si="8"/>
        <v>1</v>
      </c>
    </row>
    <row r="153" spans="1:14" x14ac:dyDescent="0.3">
      <c r="A153">
        <v>1086</v>
      </c>
      <c r="B153" t="s">
        <v>30</v>
      </c>
      <c r="C153" t="str">
        <f>PROPER(TRIM(B153))</f>
        <v>Dana</v>
      </c>
      <c r="D153">
        <v>22</v>
      </c>
      <c r="E153" t="s">
        <v>13</v>
      </c>
      <c r="F153" t="s">
        <v>14</v>
      </c>
      <c r="G153" s="4">
        <v>5</v>
      </c>
      <c r="H153">
        <v>418.41</v>
      </c>
      <c r="I153" s="5">
        <v>45367</v>
      </c>
      <c r="J153" t="s">
        <v>168</v>
      </c>
      <c r="K153" t="s">
        <v>4</v>
      </c>
      <c r="L153">
        <f t="shared" si="6"/>
        <v>2092.0500000000002</v>
      </c>
      <c r="M153">
        <f t="shared" si="7"/>
        <v>3</v>
      </c>
      <c r="N153">
        <f t="shared" si="8"/>
        <v>0</v>
      </c>
    </row>
    <row r="154" spans="1:14" x14ac:dyDescent="0.3">
      <c r="A154">
        <v>1044</v>
      </c>
      <c r="B154" t="s">
        <v>9</v>
      </c>
      <c r="C154" t="str">
        <f>PROPER(TRIM(B154))</f>
        <v>Evan</v>
      </c>
      <c r="D154">
        <v>20</v>
      </c>
      <c r="E154" t="s">
        <v>13</v>
      </c>
      <c r="F154" t="s">
        <v>6</v>
      </c>
      <c r="G154" s="4">
        <v>10</v>
      </c>
      <c r="H154">
        <v>418.45</v>
      </c>
      <c r="I154" s="5">
        <v>45393</v>
      </c>
      <c r="J154" t="s">
        <v>169</v>
      </c>
      <c r="K154" t="s">
        <v>8</v>
      </c>
      <c r="L154">
        <f t="shared" si="6"/>
        <v>4184.5</v>
      </c>
      <c r="M154">
        <f t="shared" si="7"/>
        <v>4</v>
      </c>
      <c r="N154">
        <f t="shared" si="8"/>
        <v>1</v>
      </c>
    </row>
    <row r="155" spans="1:14" x14ac:dyDescent="0.3">
      <c r="A155">
        <v>1099</v>
      </c>
      <c r="B155" t="s">
        <v>0</v>
      </c>
      <c r="C155" t="str">
        <f>PROPER(TRIM(B155))</f>
        <v>Alice</v>
      </c>
      <c r="D155">
        <v>20</v>
      </c>
      <c r="E155" t="s">
        <v>23</v>
      </c>
      <c r="F155" t="s">
        <v>6</v>
      </c>
      <c r="G155" s="4">
        <v>1</v>
      </c>
      <c r="H155">
        <v>418.98</v>
      </c>
      <c r="I155" s="5">
        <v>45354</v>
      </c>
      <c r="J155" t="s">
        <v>170</v>
      </c>
      <c r="K155" t="s">
        <v>11</v>
      </c>
      <c r="L155">
        <f t="shared" si="6"/>
        <v>418.98</v>
      </c>
      <c r="M155">
        <f t="shared" si="7"/>
        <v>3</v>
      </c>
      <c r="N155">
        <f t="shared" si="8"/>
        <v>0</v>
      </c>
    </row>
    <row r="156" spans="1:14" x14ac:dyDescent="0.3">
      <c r="A156">
        <v>1070</v>
      </c>
      <c r="B156" t="s">
        <v>17</v>
      </c>
      <c r="C156" t="str">
        <f>PROPER(TRIM(B156))</f>
        <v>Charlie</v>
      </c>
      <c r="D156">
        <v>20</v>
      </c>
      <c r="E156" t="s">
        <v>23</v>
      </c>
      <c r="F156" t="s">
        <v>6</v>
      </c>
      <c r="G156" s="4">
        <v>5</v>
      </c>
      <c r="H156">
        <v>419.68</v>
      </c>
      <c r="I156" s="5">
        <v>45392</v>
      </c>
      <c r="J156" t="s">
        <v>171</v>
      </c>
      <c r="K156" t="s">
        <v>8</v>
      </c>
      <c r="L156">
        <f t="shared" si="6"/>
        <v>2098.4</v>
      </c>
      <c r="M156">
        <f t="shared" si="7"/>
        <v>4</v>
      </c>
      <c r="N156">
        <f t="shared" si="8"/>
        <v>1</v>
      </c>
    </row>
    <row r="157" spans="1:14" x14ac:dyDescent="0.3">
      <c r="A157">
        <v>1063</v>
      </c>
      <c r="B157" t="s">
        <v>9</v>
      </c>
      <c r="C157" t="str">
        <f>PROPER(TRIM(B157))</f>
        <v>Evan</v>
      </c>
      <c r="D157">
        <v>24</v>
      </c>
      <c r="E157" t="s">
        <v>23</v>
      </c>
      <c r="F157" t="s">
        <v>20</v>
      </c>
      <c r="G157" s="4" t="s">
        <v>31</v>
      </c>
      <c r="H157">
        <v>421.03</v>
      </c>
      <c r="I157" s="5">
        <v>45470</v>
      </c>
      <c r="J157" t="s">
        <v>172</v>
      </c>
      <c r="K157" t="s">
        <v>11</v>
      </c>
      <c r="L157">
        <f t="shared" si="6"/>
        <v>2105.1499999999996</v>
      </c>
      <c r="M157">
        <f t="shared" si="7"/>
        <v>6</v>
      </c>
      <c r="N157">
        <f t="shared" si="8"/>
        <v>0</v>
      </c>
    </row>
    <row r="158" spans="1:14" x14ac:dyDescent="0.3">
      <c r="A158">
        <v>1090</v>
      </c>
      <c r="B158" t="s">
        <v>0</v>
      </c>
      <c r="C158" t="str">
        <f>PROPER(TRIM(B158))</f>
        <v>Alice</v>
      </c>
      <c r="D158">
        <v>23</v>
      </c>
      <c r="E158" t="s">
        <v>1</v>
      </c>
      <c r="F158" t="s">
        <v>14</v>
      </c>
      <c r="G158" s="4">
        <v>50</v>
      </c>
      <c r="H158">
        <v>421.66</v>
      </c>
      <c r="I158" s="5">
        <v>45402</v>
      </c>
      <c r="J158" t="s">
        <v>173</v>
      </c>
      <c r="K158" t="s">
        <v>8</v>
      </c>
      <c r="L158">
        <f t="shared" si="6"/>
        <v>21083</v>
      </c>
      <c r="M158">
        <f t="shared" si="7"/>
        <v>4</v>
      </c>
      <c r="N158">
        <f t="shared" si="8"/>
        <v>1</v>
      </c>
    </row>
    <row r="159" spans="1:14" x14ac:dyDescent="0.3">
      <c r="A159">
        <v>1025</v>
      </c>
      <c r="B159" t="s">
        <v>17</v>
      </c>
      <c r="C159" t="str">
        <f>PROPER(TRIM(B159))</f>
        <v>Charlie</v>
      </c>
      <c r="D159">
        <v>21</v>
      </c>
      <c r="E159" t="s">
        <v>13</v>
      </c>
      <c r="F159" t="s">
        <v>6</v>
      </c>
      <c r="G159" s="4">
        <v>2</v>
      </c>
      <c r="H159">
        <v>421.79</v>
      </c>
      <c r="I159" s="5">
        <v>45297</v>
      </c>
      <c r="J159" t="s">
        <v>174</v>
      </c>
      <c r="K159" t="s">
        <v>8</v>
      </c>
      <c r="L159">
        <f t="shared" si="6"/>
        <v>843.58</v>
      </c>
      <c r="M159">
        <f t="shared" si="7"/>
        <v>1</v>
      </c>
      <c r="N159">
        <f t="shared" si="8"/>
        <v>1</v>
      </c>
    </row>
    <row r="160" spans="1:14" x14ac:dyDescent="0.3">
      <c r="A160">
        <v>1034</v>
      </c>
      <c r="B160" t="s">
        <v>9</v>
      </c>
      <c r="C160" t="str">
        <f>PROPER(TRIM(B160))</f>
        <v>Evan</v>
      </c>
      <c r="D160">
        <v>20</v>
      </c>
      <c r="E160" t="s">
        <v>1</v>
      </c>
      <c r="F160" t="s">
        <v>14</v>
      </c>
      <c r="G160" s="4">
        <v>2</v>
      </c>
      <c r="H160">
        <v>423.79</v>
      </c>
      <c r="I160" s="5">
        <v>45292</v>
      </c>
      <c r="J160" t="s">
        <v>175</v>
      </c>
      <c r="K160" t="s">
        <v>11</v>
      </c>
      <c r="L160">
        <f t="shared" si="6"/>
        <v>847.58</v>
      </c>
      <c r="M160">
        <f t="shared" si="7"/>
        <v>1</v>
      </c>
      <c r="N160">
        <f t="shared" si="8"/>
        <v>0</v>
      </c>
    </row>
    <row r="161" spans="1:14" x14ac:dyDescent="0.3">
      <c r="A161">
        <v>1089</v>
      </c>
      <c r="B161" t="s">
        <v>17</v>
      </c>
      <c r="C161" t="str">
        <f>PROPER(TRIM(B161))</f>
        <v>Charlie</v>
      </c>
      <c r="D161">
        <v>20</v>
      </c>
      <c r="E161" t="s">
        <v>23</v>
      </c>
      <c r="F161" t="s">
        <v>14</v>
      </c>
      <c r="G161" s="4">
        <v>4</v>
      </c>
      <c r="H161">
        <v>427.98</v>
      </c>
      <c r="I161" s="5">
        <v>45403</v>
      </c>
      <c r="J161" t="s">
        <v>176</v>
      </c>
      <c r="K161" t="s">
        <v>11</v>
      </c>
      <c r="L161">
        <f t="shared" si="6"/>
        <v>1711.92</v>
      </c>
      <c r="M161">
        <f t="shared" si="7"/>
        <v>4</v>
      </c>
      <c r="N161">
        <f t="shared" si="8"/>
        <v>0</v>
      </c>
    </row>
    <row r="162" spans="1:14" x14ac:dyDescent="0.3">
      <c r="A162">
        <v>1008</v>
      </c>
      <c r="B162" t="s">
        <v>5</v>
      </c>
      <c r="C162" t="str">
        <f>PROPER(TRIM(B162))</f>
        <v>Bob</v>
      </c>
      <c r="D162">
        <v>20</v>
      </c>
      <c r="E162" t="s">
        <v>13</v>
      </c>
      <c r="F162" t="s">
        <v>6</v>
      </c>
      <c r="G162" s="4">
        <v>50</v>
      </c>
      <c r="H162">
        <v>428.05</v>
      </c>
      <c r="I162" s="5">
        <v>45372</v>
      </c>
      <c r="J162" t="s">
        <v>177</v>
      </c>
      <c r="K162" t="s">
        <v>8</v>
      </c>
      <c r="L162">
        <f t="shared" si="6"/>
        <v>21402.5</v>
      </c>
      <c r="M162">
        <f t="shared" si="7"/>
        <v>3</v>
      </c>
      <c r="N162">
        <f t="shared" si="8"/>
        <v>1</v>
      </c>
    </row>
    <row r="163" spans="1:14" x14ac:dyDescent="0.3">
      <c r="A163">
        <v>1023</v>
      </c>
      <c r="B163" t="s">
        <v>25</v>
      </c>
      <c r="C163" t="str">
        <f>PROPER(TRIM(B163))</f>
        <v>Frank</v>
      </c>
      <c r="D163">
        <v>23</v>
      </c>
      <c r="E163" t="s">
        <v>13</v>
      </c>
      <c r="F163" t="s">
        <v>6</v>
      </c>
      <c r="G163" s="4">
        <v>2</v>
      </c>
      <c r="H163">
        <v>433.49</v>
      </c>
      <c r="I163" s="5">
        <v>45318</v>
      </c>
      <c r="J163" t="s">
        <v>178</v>
      </c>
      <c r="K163" t="s">
        <v>4</v>
      </c>
      <c r="L163">
        <f t="shared" si="6"/>
        <v>866.98</v>
      </c>
      <c r="M163">
        <f t="shared" si="7"/>
        <v>1</v>
      </c>
      <c r="N163">
        <f t="shared" si="8"/>
        <v>0</v>
      </c>
    </row>
    <row r="164" spans="1:14" x14ac:dyDescent="0.3">
      <c r="A164">
        <v>1028</v>
      </c>
      <c r="B164" t="s">
        <v>17</v>
      </c>
      <c r="C164" t="str">
        <f>PROPER(TRIM(B164))</f>
        <v>Charlie</v>
      </c>
      <c r="D164">
        <v>23</v>
      </c>
      <c r="E164" t="s">
        <v>1</v>
      </c>
      <c r="F164" t="s">
        <v>14</v>
      </c>
      <c r="G164" s="4">
        <v>10</v>
      </c>
      <c r="H164">
        <v>433.59</v>
      </c>
      <c r="I164" s="5">
        <v>45384</v>
      </c>
      <c r="J164" t="s">
        <v>179</v>
      </c>
      <c r="K164" t="s">
        <v>4</v>
      </c>
      <c r="L164">
        <f t="shared" si="6"/>
        <v>4335.8999999999996</v>
      </c>
      <c r="M164">
        <f t="shared" si="7"/>
        <v>4</v>
      </c>
      <c r="N164">
        <f t="shared" si="8"/>
        <v>0</v>
      </c>
    </row>
    <row r="165" spans="1:14" x14ac:dyDescent="0.3">
      <c r="A165">
        <v>1053</v>
      </c>
      <c r="B165" t="s">
        <v>30</v>
      </c>
      <c r="C165" t="str">
        <f>PROPER(TRIM(B165))</f>
        <v>Dana</v>
      </c>
      <c r="D165">
        <v>23</v>
      </c>
      <c r="E165" t="s">
        <v>13</v>
      </c>
      <c r="F165" t="s">
        <v>20</v>
      </c>
      <c r="G165" s="4" t="s">
        <v>31</v>
      </c>
      <c r="H165">
        <v>434.39</v>
      </c>
      <c r="I165" s="5">
        <v>45400</v>
      </c>
      <c r="J165" t="s">
        <v>180</v>
      </c>
      <c r="K165" t="s">
        <v>8</v>
      </c>
      <c r="L165">
        <f t="shared" si="6"/>
        <v>2171.9499999999998</v>
      </c>
      <c r="M165">
        <f t="shared" si="7"/>
        <v>4</v>
      </c>
      <c r="N165">
        <f t="shared" si="8"/>
        <v>1</v>
      </c>
    </row>
    <row r="166" spans="1:14" x14ac:dyDescent="0.3">
      <c r="A166">
        <v>1091</v>
      </c>
      <c r="B166" t="s">
        <v>25</v>
      </c>
      <c r="C166" t="str">
        <f>PROPER(TRIM(B166))</f>
        <v>Frank</v>
      </c>
      <c r="D166">
        <v>21</v>
      </c>
      <c r="E166" t="s">
        <v>13</v>
      </c>
      <c r="F166" t="s">
        <v>6</v>
      </c>
      <c r="G166" s="4">
        <v>2</v>
      </c>
      <c r="H166">
        <v>435.81</v>
      </c>
      <c r="I166" s="5">
        <v>45412</v>
      </c>
      <c r="J166" t="s">
        <v>181</v>
      </c>
      <c r="K166" t="s">
        <v>8</v>
      </c>
      <c r="L166">
        <f t="shared" si="6"/>
        <v>871.62</v>
      </c>
      <c r="M166">
        <f t="shared" si="7"/>
        <v>4</v>
      </c>
      <c r="N166">
        <f t="shared" si="8"/>
        <v>1</v>
      </c>
    </row>
    <row r="167" spans="1:14" x14ac:dyDescent="0.3">
      <c r="A167">
        <v>1098</v>
      </c>
      <c r="B167" t="s">
        <v>0</v>
      </c>
      <c r="C167" t="str">
        <f>PROPER(TRIM(B167))</f>
        <v>Alice</v>
      </c>
      <c r="D167">
        <v>20</v>
      </c>
      <c r="E167" t="s">
        <v>1</v>
      </c>
      <c r="F167" t="s">
        <v>20</v>
      </c>
      <c r="G167" s="4">
        <v>50</v>
      </c>
      <c r="H167">
        <v>437.06</v>
      </c>
      <c r="I167" s="5">
        <v>45312</v>
      </c>
      <c r="J167" t="s">
        <v>182</v>
      </c>
      <c r="K167" t="s">
        <v>11</v>
      </c>
      <c r="L167">
        <f t="shared" si="6"/>
        <v>21853</v>
      </c>
      <c r="M167">
        <f t="shared" si="7"/>
        <v>1</v>
      </c>
      <c r="N167">
        <f t="shared" si="8"/>
        <v>0</v>
      </c>
    </row>
    <row r="168" spans="1:14" x14ac:dyDescent="0.3">
      <c r="A168">
        <v>1011</v>
      </c>
      <c r="B168" t="s">
        <v>9</v>
      </c>
      <c r="C168" t="str">
        <f>PROPER(TRIM(B168))</f>
        <v>Evan</v>
      </c>
      <c r="D168">
        <v>20</v>
      </c>
      <c r="E168" t="s">
        <v>13</v>
      </c>
      <c r="F168" t="s">
        <v>2</v>
      </c>
      <c r="G168" s="4" t="s">
        <v>31</v>
      </c>
      <c r="H168">
        <v>439.02</v>
      </c>
      <c r="I168" s="5">
        <v>45338</v>
      </c>
      <c r="J168" t="s">
        <v>183</v>
      </c>
      <c r="K168" t="s">
        <v>11</v>
      </c>
      <c r="L168">
        <f t="shared" si="6"/>
        <v>2195.1</v>
      </c>
      <c r="M168">
        <f t="shared" si="7"/>
        <v>2</v>
      </c>
      <c r="N168">
        <f t="shared" si="8"/>
        <v>0</v>
      </c>
    </row>
    <row r="169" spans="1:14" x14ac:dyDescent="0.3">
      <c r="A169">
        <v>1044</v>
      </c>
      <c r="B169" t="s">
        <v>25</v>
      </c>
      <c r="C169" t="str">
        <f>PROPER(TRIM(B169))</f>
        <v>Frank</v>
      </c>
      <c r="D169">
        <v>22</v>
      </c>
      <c r="E169" t="s">
        <v>1</v>
      </c>
      <c r="F169" t="s">
        <v>2</v>
      </c>
      <c r="G169" s="4">
        <v>5</v>
      </c>
      <c r="H169">
        <v>440.62</v>
      </c>
      <c r="I169" s="5">
        <v>45407</v>
      </c>
      <c r="J169" t="s">
        <v>184</v>
      </c>
      <c r="K169" t="s">
        <v>8</v>
      </c>
      <c r="L169">
        <f t="shared" si="6"/>
        <v>2203.1</v>
      </c>
      <c r="M169">
        <f t="shared" si="7"/>
        <v>4</v>
      </c>
      <c r="N169">
        <f t="shared" si="8"/>
        <v>1</v>
      </c>
    </row>
    <row r="170" spans="1:14" x14ac:dyDescent="0.3">
      <c r="A170">
        <v>1062</v>
      </c>
      <c r="B170" t="s">
        <v>5</v>
      </c>
      <c r="C170" t="str">
        <f>PROPER(TRIM(B170))</f>
        <v>Bob</v>
      </c>
      <c r="D170">
        <v>23</v>
      </c>
      <c r="E170" t="s">
        <v>13</v>
      </c>
      <c r="F170" t="s">
        <v>6</v>
      </c>
      <c r="G170" s="4">
        <v>1</v>
      </c>
      <c r="H170">
        <v>440.66</v>
      </c>
      <c r="I170" s="5">
        <v>45420</v>
      </c>
      <c r="J170" t="s">
        <v>185</v>
      </c>
      <c r="K170" t="s">
        <v>8</v>
      </c>
      <c r="L170">
        <f t="shared" si="6"/>
        <v>440.66</v>
      </c>
      <c r="M170">
        <f t="shared" si="7"/>
        <v>5</v>
      </c>
      <c r="N170">
        <f t="shared" si="8"/>
        <v>1</v>
      </c>
    </row>
    <row r="171" spans="1:14" x14ac:dyDescent="0.3">
      <c r="A171">
        <v>1075</v>
      </c>
      <c r="B171" t="s">
        <v>0</v>
      </c>
      <c r="C171" t="str">
        <f>PROPER(TRIM(B171))</f>
        <v>Alice</v>
      </c>
      <c r="D171">
        <v>23</v>
      </c>
      <c r="E171" t="s">
        <v>23</v>
      </c>
      <c r="F171" t="s">
        <v>14</v>
      </c>
      <c r="G171" s="4">
        <v>4</v>
      </c>
      <c r="H171">
        <v>440.67</v>
      </c>
      <c r="I171" s="5">
        <v>45341</v>
      </c>
      <c r="J171" t="s">
        <v>186</v>
      </c>
      <c r="K171" t="s">
        <v>8</v>
      </c>
      <c r="L171">
        <f t="shared" si="6"/>
        <v>1762.68</v>
      </c>
      <c r="M171">
        <f t="shared" si="7"/>
        <v>2</v>
      </c>
      <c r="N171">
        <f t="shared" si="8"/>
        <v>1</v>
      </c>
    </row>
    <row r="172" spans="1:14" x14ac:dyDescent="0.3">
      <c r="A172">
        <v>1051</v>
      </c>
      <c r="B172" t="s">
        <v>9</v>
      </c>
      <c r="C172" t="str">
        <f>PROPER(TRIM(B172))</f>
        <v>Evan</v>
      </c>
      <c r="D172">
        <v>23</v>
      </c>
      <c r="E172" t="s">
        <v>1</v>
      </c>
      <c r="F172" t="s">
        <v>14</v>
      </c>
      <c r="G172" s="4" t="s">
        <v>31</v>
      </c>
      <c r="H172">
        <v>445.58</v>
      </c>
      <c r="I172" s="5">
        <v>45352</v>
      </c>
      <c r="J172" t="s">
        <v>187</v>
      </c>
      <c r="K172" t="s">
        <v>8</v>
      </c>
      <c r="L172">
        <f t="shared" si="6"/>
        <v>2227.9</v>
      </c>
      <c r="M172">
        <f t="shared" si="7"/>
        <v>3</v>
      </c>
      <c r="N172">
        <f t="shared" si="8"/>
        <v>1</v>
      </c>
    </row>
    <row r="173" spans="1:14" x14ac:dyDescent="0.3">
      <c r="A173">
        <v>1098</v>
      </c>
      <c r="B173" t="s">
        <v>25</v>
      </c>
      <c r="C173" t="str">
        <f>PROPER(TRIM(B173))</f>
        <v>Frank</v>
      </c>
      <c r="D173">
        <v>23</v>
      </c>
      <c r="E173" t="s">
        <v>23</v>
      </c>
      <c r="F173" t="s">
        <v>20</v>
      </c>
      <c r="G173" s="4">
        <v>5</v>
      </c>
      <c r="H173">
        <v>446.74</v>
      </c>
      <c r="I173" s="5">
        <v>45350</v>
      </c>
      <c r="J173" t="s">
        <v>188</v>
      </c>
      <c r="K173" t="s">
        <v>4</v>
      </c>
      <c r="L173">
        <f t="shared" si="6"/>
        <v>2233.6999999999998</v>
      </c>
      <c r="M173">
        <f t="shared" si="7"/>
        <v>2</v>
      </c>
      <c r="N173">
        <f t="shared" si="8"/>
        <v>0</v>
      </c>
    </row>
    <row r="174" spans="1:14" x14ac:dyDescent="0.3">
      <c r="A174">
        <v>1040</v>
      </c>
      <c r="B174" t="s">
        <v>25</v>
      </c>
      <c r="C174" t="str">
        <f>PROPER(TRIM(B174))</f>
        <v>Frank</v>
      </c>
      <c r="D174">
        <v>23</v>
      </c>
      <c r="E174" t="s">
        <v>1</v>
      </c>
      <c r="F174" t="s">
        <v>2</v>
      </c>
      <c r="G174" s="4">
        <v>4</v>
      </c>
      <c r="H174">
        <v>447.14</v>
      </c>
      <c r="I174" s="5">
        <v>45468</v>
      </c>
      <c r="J174" t="s">
        <v>189</v>
      </c>
      <c r="K174" t="s">
        <v>8</v>
      </c>
      <c r="L174">
        <f t="shared" si="6"/>
        <v>1788.56</v>
      </c>
      <c r="M174">
        <f t="shared" si="7"/>
        <v>6</v>
      </c>
      <c r="N174">
        <f t="shared" si="8"/>
        <v>1</v>
      </c>
    </row>
    <row r="175" spans="1:14" x14ac:dyDescent="0.3">
      <c r="A175">
        <v>1085</v>
      </c>
      <c r="B175" t="s">
        <v>5</v>
      </c>
      <c r="C175" t="str">
        <f>PROPER(TRIM(B175))</f>
        <v>Bob</v>
      </c>
      <c r="D175">
        <v>22</v>
      </c>
      <c r="E175" t="s">
        <v>23</v>
      </c>
      <c r="F175" t="s">
        <v>14</v>
      </c>
      <c r="G175" s="4">
        <v>2</v>
      </c>
      <c r="H175">
        <v>447.31</v>
      </c>
      <c r="I175" s="5">
        <v>45332</v>
      </c>
      <c r="J175" t="s">
        <v>190</v>
      </c>
      <c r="K175" t="s">
        <v>8</v>
      </c>
      <c r="L175">
        <f t="shared" si="6"/>
        <v>894.62</v>
      </c>
      <c r="M175">
        <f t="shared" si="7"/>
        <v>2</v>
      </c>
      <c r="N175">
        <f t="shared" si="8"/>
        <v>1</v>
      </c>
    </row>
    <row r="176" spans="1:14" x14ac:dyDescent="0.3">
      <c r="A176">
        <v>1061</v>
      </c>
      <c r="B176" t="s">
        <v>17</v>
      </c>
      <c r="C176" t="str">
        <f>PROPER(TRIM(B176))</f>
        <v>Charlie</v>
      </c>
      <c r="D176">
        <v>21</v>
      </c>
      <c r="E176" t="s">
        <v>1</v>
      </c>
      <c r="F176" t="s">
        <v>20</v>
      </c>
      <c r="G176" s="4" t="s">
        <v>31</v>
      </c>
      <c r="H176">
        <v>452.52</v>
      </c>
      <c r="I176" s="5">
        <v>45330</v>
      </c>
      <c r="J176" t="s">
        <v>191</v>
      </c>
      <c r="K176" t="s">
        <v>11</v>
      </c>
      <c r="L176">
        <f t="shared" si="6"/>
        <v>2262.6</v>
      </c>
      <c r="M176">
        <f t="shared" si="7"/>
        <v>2</v>
      </c>
      <c r="N176">
        <f t="shared" si="8"/>
        <v>0</v>
      </c>
    </row>
    <row r="177" spans="1:14" x14ac:dyDescent="0.3">
      <c r="A177">
        <v>1063</v>
      </c>
      <c r="B177" t="s">
        <v>0</v>
      </c>
      <c r="C177" t="str">
        <f>PROPER(TRIM(B177))</f>
        <v>Alice</v>
      </c>
      <c r="D177">
        <v>22</v>
      </c>
      <c r="E177" t="s">
        <v>1</v>
      </c>
      <c r="F177" t="s">
        <v>14</v>
      </c>
      <c r="G177" s="4">
        <v>5</v>
      </c>
      <c r="H177">
        <v>452.71</v>
      </c>
      <c r="I177" s="5">
        <v>45312</v>
      </c>
      <c r="J177" t="s">
        <v>192</v>
      </c>
      <c r="K177" t="s">
        <v>8</v>
      </c>
      <c r="L177">
        <f t="shared" si="6"/>
        <v>2263.5499999999997</v>
      </c>
      <c r="M177">
        <f t="shared" si="7"/>
        <v>1</v>
      </c>
      <c r="N177">
        <f t="shared" si="8"/>
        <v>1</v>
      </c>
    </row>
    <row r="178" spans="1:14" x14ac:dyDescent="0.3">
      <c r="A178">
        <v>1020</v>
      </c>
      <c r="B178" t="s">
        <v>30</v>
      </c>
      <c r="C178" t="str">
        <f>PROPER(TRIM(B178))</f>
        <v>Dana</v>
      </c>
      <c r="D178">
        <v>24</v>
      </c>
      <c r="E178" t="s">
        <v>1</v>
      </c>
      <c r="F178" t="s">
        <v>2</v>
      </c>
      <c r="G178" s="4">
        <v>10</v>
      </c>
      <c r="H178">
        <v>453.85</v>
      </c>
      <c r="I178" s="5">
        <v>45307</v>
      </c>
      <c r="J178" t="s">
        <v>193</v>
      </c>
      <c r="K178" t="s">
        <v>11</v>
      </c>
      <c r="L178">
        <f t="shared" si="6"/>
        <v>4538.5</v>
      </c>
      <c r="M178">
        <f t="shared" si="7"/>
        <v>1</v>
      </c>
      <c r="N178">
        <f t="shared" si="8"/>
        <v>0</v>
      </c>
    </row>
    <row r="179" spans="1:14" x14ac:dyDescent="0.3">
      <c r="A179">
        <v>1058</v>
      </c>
      <c r="B179" t="s">
        <v>30</v>
      </c>
      <c r="C179" t="str">
        <f>PROPER(TRIM(B179))</f>
        <v>Dana</v>
      </c>
      <c r="D179">
        <v>22</v>
      </c>
      <c r="E179" t="s">
        <v>13</v>
      </c>
      <c r="F179" t="s">
        <v>6</v>
      </c>
      <c r="G179" s="4" t="s">
        <v>31</v>
      </c>
      <c r="H179">
        <v>457.93</v>
      </c>
      <c r="I179" s="5">
        <v>45334</v>
      </c>
      <c r="J179" t="s">
        <v>194</v>
      </c>
      <c r="K179" t="s">
        <v>8</v>
      </c>
      <c r="L179">
        <f t="shared" si="6"/>
        <v>2289.65</v>
      </c>
      <c r="M179">
        <f t="shared" si="7"/>
        <v>2</v>
      </c>
      <c r="N179">
        <f t="shared" si="8"/>
        <v>1</v>
      </c>
    </row>
    <row r="180" spans="1:14" x14ac:dyDescent="0.3">
      <c r="A180">
        <v>1071</v>
      </c>
      <c r="B180" t="s">
        <v>17</v>
      </c>
      <c r="C180" t="str">
        <f>PROPER(TRIM(B180))</f>
        <v>Charlie</v>
      </c>
      <c r="D180">
        <v>20</v>
      </c>
      <c r="E180" t="s">
        <v>13</v>
      </c>
      <c r="F180" t="s">
        <v>20</v>
      </c>
      <c r="G180" s="4">
        <v>1</v>
      </c>
      <c r="H180">
        <v>458.52</v>
      </c>
      <c r="I180" s="5">
        <v>45455</v>
      </c>
      <c r="J180" t="s">
        <v>195</v>
      </c>
      <c r="K180" t="s">
        <v>8</v>
      </c>
      <c r="L180">
        <f t="shared" si="6"/>
        <v>458.52</v>
      </c>
      <c r="M180">
        <f t="shared" si="7"/>
        <v>6</v>
      </c>
      <c r="N180">
        <f t="shared" si="8"/>
        <v>1</v>
      </c>
    </row>
    <row r="181" spans="1:14" x14ac:dyDescent="0.3">
      <c r="A181">
        <v>1022</v>
      </c>
      <c r="B181" t="s">
        <v>17</v>
      </c>
      <c r="C181" t="str">
        <f>PROPER(TRIM(B181))</f>
        <v>Charlie</v>
      </c>
      <c r="D181">
        <v>22</v>
      </c>
      <c r="E181" t="s">
        <v>13</v>
      </c>
      <c r="F181" t="s">
        <v>14</v>
      </c>
      <c r="G181" s="4" t="s">
        <v>31</v>
      </c>
      <c r="H181">
        <v>458.92</v>
      </c>
      <c r="I181" s="5">
        <v>45356</v>
      </c>
      <c r="J181" t="s">
        <v>196</v>
      </c>
      <c r="K181" t="s">
        <v>8</v>
      </c>
      <c r="L181">
        <f t="shared" si="6"/>
        <v>2294.6</v>
      </c>
      <c r="M181">
        <f t="shared" si="7"/>
        <v>3</v>
      </c>
      <c r="N181">
        <f t="shared" si="8"/>
        <v>1</v>
      </c>
    </row>
    <row r="182" spans="1:14" x14ac:dyDescent="0.3">
      <c r="A182">
        <v>1019</v>
      </c>
      <c r="B182" t="s">
        <v>30</v>
      </c>
      <c r="C182" t="str">
        <f>PROPER(TRIM(B182))</f>
        <v>Dana</v>
      </c>
      <c r="D182">
        <v>23</v>
      </c>
      <c r="E182" t="s">
        <v>1</v>
      </c>
      <c r="F182" t="s">
        <v>6</v>
      </c>
      <c r="G182" s="4">
        <v>3</v>
      </c>
      <c r="H182">
        <v>459.29</v>
      </c>
      <c r="I182" s="5">
        <v>45411</v>
      </c>
      <c r="J182" t="s">
        <v>197</v>
      </c>
      <c r="K182" t="s">
        <v>8</v>
      </c>
      <c r="L182">
        <f t="shared" si="6"/>
        <v>1377.8700000000001</v>
      </c>
      <c r="M182">
        <f t="shared" si="7"/>
        <v>4</v>
      </c>
      <c r="N182">
        <f t="shared" si="8"/>
        <v>1</v>
      </c>
    </row>
    <row r="183" spans="1:14" x14ac:dyDescent="0.3">
      <c r="A183">
        <v>1079</v>
      </c>
      <c r="B183" t="s">
        <v>0</v>
      </c>
      <c r="C183" t="str">
        <f>PROPER(TRIM(B183))</f>
        <v>Alice</v>
      </c>
      <c r="D183">
        <v>20</v>
      </c>
      <c r="E183" t="s">
        <v>23</v>
      </c>
      <c r="F183" t="s">
        <v>14</v>
      </c>
      <c r="G183" s="4">
        <v>3</v>
      </c>
      <c r="H183">
        <v>460.33</v>
      </c>
      <c r="I183" s="5">
        <v>45432</v>
      </c>
      <c r="J183" t="s">
        <v>198</v>
      </c>
      <c r="K183" t="s">
        <v>8</v>
      </c>
      <c r="L183">
        <f t="shared" si="6"/>
        <v>1380.99</v>
      </c>
      <c r="M183">
        <f t="shared" si="7"/>
        <v>5</v>
      </c>
      <c r="N183">
        <f t="shared" si="8"/>
        <v>1</v>
      </c>
    </row>
    <row r="184" spans="1:14" x14ac:dyDescent="0.3">
      <c r="A184">
        <v>1051</v>
      </c>
      <c r="B184" t="s">
        <v>0</v>
      </c>
      <c r="C184" t="str">
        <f>PROPER(TRIM(B184))</f>
        <v>Alice</v>
      </c>
      <c r="D184">
        <v>23</v>
      </c>
      <c r="E184" t="s">
        <v>13</v>
      </c>
      <c r="F184" t="s">
        <v>14</v>
      </c>
      <c r="G184" s="4">
        <v>2</v>
      </c>
      <c r="H184">
        <v>468.54</v>
      </c>
      <c r="I184" s="5">
        <v>45346</v>
      </c>
      <c r="J184" t="s">
        <v>199</v>
      </c>
      <c r="K184" t="s">
        <v>8</v>
      </c>
      <c r="L184">
        <f t="shared" si="6"/>
        <v>937.08</v>
      </c>
      <c r="M184">
        <f t="shared" si="7"/>
        <v>2</v>
      </c>
      <c r="N184">
        <f t="shared" si="8"/>
        <v>1</v>
      </c>
    </row>
    <row r="185" spans="1:14" x14ac:dyDescent="0.3">
      <c r="A185">
        <v>1095</v>
      </c>
      <c r="B185" t="s">
        <v>0</v>
      </c>
      <c r="C185" t="str">
        <f>PROPER(TRIM(B185))</f>
        <v>Alice</v>
      </c>
      <c r="D185">
        <v>23</v>
      </c>
      <c r="E185" t="s">
        <v>1</v>
      </c>
      <c r="F185" t="s">
        <v>6</v>
      </c>
      <c r="G185" s="4">
        <v>3</v>
      </c>
      <c r="H185">
        <v>469.22</v>
      </c>
      <c r="I185" s="5">
        <v>45321</v>
      </c>
      <c r="J185" t="s">
        <v>200</v>
      </c>
      <c r="K185" t="s">
        <v>8</v>
      </c>
      <c r="L185">
        <f t="shared" si="6"/>
        <v>1407.66</v>
      </c>
      <c r="M185">
        <f t="shared" si="7"/>
        <v>1</v>
      </c>
      <c r="N185">
        <f t="shared" si="8"/>
        <v>1</v>
      </c>
    </row>
    <row r="186" spans="1:14" x14ac:dyDescent="0.3">
      <c r="A186">
        <v>1049</v>
      </c>
      <c r="B186" t="s">
        <v>5</v>
      </c>
      <c r="C186" t="str">
        <f>PROPER(TRIM(B186))</f>
        <v>Bob</v>
      </c>
      <c r="D186">
        <v>23</v>
      </c>
      <c r="E186" t="s">
        <v>23</v>
      </c>
      <c r="F186" t="s">
        <v>14</v>
      </c>
      <c r="G186" s="4">
        <v>2</v>
      </c>
      <c r="H186">
        <v>473.56</v>
      </c>
      <c r="I186" s="5">
        <v>45465</v>
      </c>
      <c r="J186" t="s">
        <v>201</v>
      </c>
      <c r="K186" t="s">
        <v>8</v>
      </c>
      <c r="L186">
        <f t="shared" si="6"/>
        <v>947.12</v>
      </c>
      <c r="M186">
        <f t="shared" si="7"/>
        <v>6</v>
      </c>
      <c r="N186">
        <f t="shared" si="8"/>
        <v>1</v>
      </c>
    </row>
    <row r="187" spans="1:14" x14ac:dyDescent="0.3">
      <c r="A187">
        <v>1018</v>
      </c>
      <c r="B187" t="s">
        <v>25</v>
      </c>
      <c r="C187" t="str">
        <f>PROPER(TRIM(B187))</f>
        <v>Frank</v>
      </c>
      <c r="D187">
        <v>23</v>
      </c>
      <c r="E187" t="s">
        <v>13</v>
      </c>
      <c r="F187" t="s">
        <v>2</v>
      </c>
      <c r="G187" s="4">
        <v>10</v>
      </c>
      <c r="H187">
        <v>474.94</v>
      </c>
      <c r="I187" s="5">
        <v>45398</v>
      </c>
      <c r="J187" t="s">
        <v>202</v>
      </c>
      <c r="K187" t="s">
        <v>8</v>
      </c>
      <c r="L187">
        <f t="shared" si="6"/>
        <v>4749.3999999999996</v>
      </c>
      <c r="M187">
        <f t="shared" si="7"/>
        <v>4</v>
      </c>
      <c r="N187">
        <f t="shared" si="8"/>
        <v>1</v>
      </c>
    </row>
    <row r="188" spans="1:14" x14ac:dyDescent="0.3">
      <c r="A188">
        <v>1039</v>
      </c>
      <c r="B188" t="s">
        <v>0</v>
      </c>
      <c r="C188" t="str">
        <f>PROPER(TRIM(B188))</f>
        <v>Alice</v>
      </c>
      <c r="D188">
        <v>21</v>
      </c>
      <c r="E188" t="s">
        <v>23</v>
      </c>
      <c r="F188" t="s">
        <v>2</v>
      </c>
      <c r="G188" s="4">
        <v>50</v>
      </c>
      <c r="H188">
        <v>476.28</v>
      </c>
      <c r="I188" s="5">
        <v>45378</v>
      </c>
      <c r="J188" t="s">
        <v>203</v>
      </c>
      <c r="K188" t="s">
        <v>11</v>
      </c>
      <c r="L188">
        <f t="shared" si="6"/>
        <v>23814</v>
      </c>
      <c r="M188">
        <f t="shared" si="7"/>
        <v>3</v>
      </c>
      <c r="N188">
        <f t="shared" si="8"/>
        <v>0</v>
      </c>
    </row>
    <row r="189" spans="1:14" x14ac:dyDescent="0.3">
      <c r="A189">
        <v>1015</v>
      </c>
      <c r="B189" t="s">
        <v>30</v>
      </c>
      <c r="C189" t="str">
        <f>PROPER(TRIM(B189))</f>
        <v>Dana</v>
      </c>
      <c r="D189">
        <v>22</v>
      </c>
      <c r="E189" t="s">
        <v>1</v>
      </c>
      <c r="F189" t="s">
        <v>14</v>
      </c>
      <c r="G189" s="4">
        <v>10</v>
      </c>
      <c r="H189">
        <v>478.69</v>
      </c>
      <c r="I189" s="5">
        <v>45602</v>
      </c>
      <c r="J189" t="s">
        <v>204</v>
      </c>
      <c r="K189" t="s">
        <v>11</v>
      </c>
      <c r="L189">
        <f t="shared" si="6"/>
        <v>4786.8999999999996</v>
      </c>
      <c r="M189">
        <f t="shared" si="7"/>
        <v>11</v>
      </c>
      <c r="N189">
        <f t="shared" si="8"/>
        <v>0</v>
      </c>
    </row>
    <row r="190" spans="1:14" x14ac:dyDescent="0.3">
      <c r="A190">
        <v>1092</v>
      </c>
      <c r="B190" t="s">
        <v>5</v>
      </c>
      <c r="C190" t="str">
        <f>PROPER(TRIM(B190))</f>
        <v>Bob</v>
      </c>
      <c r="D190">
        <v>23</v>
      </c>
      <c r="E190" t="s">
        <v>1</v>
      </c>
      <c r="F190" t="s">
        <v>14</v>
      </c>
      <c r="G190" s="4">
        <v>10</v>
      </c>
      <c r="H190">
        <v>480.77</v>
      </c>
      <c r="I190" s="5">
        <v>45296</v>
      </c>
      <c r="J190" t="s">
        <v>205</v>
      </c>
      <c r="K190" t="s">
        <v>11</v>
      </c>
      <c r="L190">
        <f t="shared" si="6"/>
        <v>4807.7</v>
      </c>
      <c r="M190">
        <f t="shared" si="7"/>
        <v>1</v>
      </c>
      <c r="N190">
        <f t="shared" si="8"/>
        <v>0</v>
      </c>
    </row>
    <row r="191" spans="1:14" x14ac:dyDescent="0.3">
      <c r="A191">
        <v>1011</v>
      </c>
      <c r="B191" t="s">
        <v>30</v>
      </c>
      <c r="C191" t="str">
        <f>PROPER(TRIM(B191))</f>
        <v>Dana</v>
      </c>
      <c r="D191">
        <v>23</v>
      </c>
      <c r="E191" t="s">
        <v>23</v>
      </c>
      <c r="F191" t="s">
        <v>6</v>
      </c>
      <c r="G191" s="4">
        <v>10</v>
      </c>
      <c r="H191">
        <v>482.59</v>
      </c>
      <c r="I191" s="5">
        <v>45351</v>
      </c>
      <c r="J191" t="s">
        <v>206</v>
      </c>
      <c r="K191" t="s">
        <v>8</v>
      </c>
      <c r="L191">
        <f t="shared" si="6"/>
        <v>4825.8999999999996</v>
      </c>
      <c r="M191">
        <f t="shared" si="7"/>
        <v>2</v>
      </c>
      <c r="N191">
        <f t="shared" si="8"/>
        <v>1</v>
      </c>
    </row>
    <row r="192" spans="1:14" x14ac:dyDescent="0.3">
      <c r="A192">
        <v>1029</v>
      </c>
      <c r="B192" t="s">
        <v>25</v>
      </c>
      <c r="C192" t="str">
        <f>PROPER(TRIM(B192))</f>
        <v>Frank</v>
      </c>
      <c r="D192">
        <v>23</v>
      </c>
      <c r="E192" t="s">
        <v>13</v>
      </c>
      <c r="F192" t="s">
        <v>2</v>
      </c>
      <c r="G192" s="4">
        <v>1</v>
      </c>
      <c r="H192">
        <v>482.95</v>
      </c>
      <c r="I192" s="5">
        <v>45328</v>
      </c>
      <c r="J192" t="s">
        <v>207</v>
      </c>
      <c r="K192" t="s">
        <v>4</v>
      </c>
      <c r="L192">
        <f t="shared" si="6"/>
        <v>482.95</v>
      </c>
      <c r="M192">
        <f t="shared" si="7"/>
        <v>2</v>
      </c>
      <c r="N192">
        <f t="shared" si="8"/>
        <v>0</v>
      </c>
    </row>
    <row r="193" spans="1:14" x14ac:dyDescent="0.3">
      <c r="A193">
        <v>1012</v>
      </c>
      <c r="B193" t="s">
        <v>5</v>
      </c>
      <c r="C193" t="str">
        <f>PROPER(TRIM(B193))</f>
        <v>Bob</v>
      </c>
      <c r="D193">
        <v>20</v>
      </c>
      <c r="E193" t="s">
        <v>13</v>
      </c>
      <c r="F193" t="s">
        <v>6</v>
      </c>
      <c r="G193" s="4">
        <v>50</v>
      </c>
      <c r="H193">
        <v>483.46</v>
      </c>
      <c r="I193" s="5">
        <v>45408</v>
      </c>
      <c r="J193" t="s">
        <v>208</v>
      </c>
      <c r="K193" t="s">
        <v>8</v>
      </c>
      <c r="L193">
        <f t="shared" si="6"/>
        <v>24173</v>
      </c>
      <c r="M193">
        <f t="shared" si="7"/>
        <v>4</v>
      </c>
      <c r="N193">
        <f t="shared" si="8"/>
        <v>1</v>
      </c>
    </row>
    <row r="194" spans="1:14" x14ac:dyDescent="0.3">
      <c r="A194">
        <v>1071</v>
      </c>
      <c r="B194" t="s">
        <v>17</v>
      </c>
      <c r="C194" t="str">
        <f>PROPER(TRIM(B194))</f>
        <v>Charlie</v>
      </c>
      <c r="D194">
        <v>24</v>
      </c>
      <c r="E194" t="s">
        <v>13</v>
      </c>
      <c r="F194" t="s">
        <v>2</v>
      </c>
      <c r="G194" s="4">
        <v>3</v>
      </c>
      <c r="H194">
        <v>484.03</v>
      </c>
      <c r="I194" s="5">
        <v>45412</v>
      </c>
      <c r="J194" t="s">
        <v>209</v>
      </c>
      <c r="K194" t="s">
        <v>8</v>
      </c>
      <c r="L194">
        <f t="shared" ref="L194:L201" si="9">G194*H194</f>
        <v>1452.09</v>
      </c>
      <c r="M194">
        <f t="shared" ref="M194:M201" si="10">MONTH(I194)</f>
        <v>4</v>
      </c>
      <c r="N194">
        <f t="shared" ref="N194:N201" si="11">IF(K194="Paid", 1, 0)</f>
        <v>1</v>
      </c>
    </row>
    <row r="195" spans="1:14" x14ac:dyDescent="0.3">
      <c r="A195">
        <v>1084</v>
      </c>
      <c r="B195" t="s">
        <v>17</v>
      </c>
      <c r="C195" t="str">
        <f>PROPER(TRIM(B195))</f>
        <v>Charlie</v>
      </c>
      <c r="D195">
        <v>20</v>
      </c>
      <c r="E195" t="s">
        <v>1</v>
      </c>
      <c r="F195" t="s">
        <v>14</v>
      </c>
      <c r="G195" s="4">
        <v>50</v>
      </c>
      <c r="H195">
        <v>485.38</v>
      </c>
      <c r="I195" s="5">
        <v>45433</v>
      </c>
      <c r="J195" t="s">
        <v>210</v>
      </c>
      <c r="K195" t="s">
        <v>8</v>
      </c>
      <c r="L195">
        <f t="shared" si="9"/>
        <v>24269</v>
      </c>
      <c r="M195">
        <f t="shared" si="10"/>
        <v>5</v>
      </c>
      <c r="N195">
        <f t="shared" si="11"/>
        <v>1</v>
      </c>
    </row>
    <row r="196" spans="1:14" x14ac:dyDescent="0.3">
      <c r="A196">
        <v>1074</v>
      </c>
      <c r="B196" t="s">
        <v>30</v>
      </c>
      <c r="C196" t="str">
        <f>PROPER(TRIM(B196))</f>
        <v>Dana</v>
      </c>
      <c r="D196">
        <v>23</v>
      </c>
      <c r="E196" t="s">
        <v>13</v>
      </c>
      <c r="F196" t="s">
        <v>14</v>
      </c>
      <c r="G196" s="4">
        <v>5</v>
      </c>
      <c r="H196">
        <v>488.61</v>
      </c>
      <c r="I196" s="5">
        <v>45451</v>
      </c>
      <c r="J196" t="s">
        <v>211</v>
      </c>
      <c r="K196" t="s">
        <v>8</v>
      </c>
      <c r="L196">
        <f t="shared" si="9"/>
        <v>2443.0500000000002</v>
      </c>
      <c r="M196">
        <f t="shared" si="10"/>
        <v>6</v>
      </c>
      <c r="N196">
        <f t="shared" si="11"/>
        <v>1</v>
      </c>
    </row>
    <row r="197" spans="1:14" x14ac:dyDescent="0.3">
      <c r="A197">
        <v>1016</v>
      </c>
      <c r="B197" t="s">
        <v>5</v>
      </c>
      <c r="C197" t="str">
        <f>PROPER(TRIM(B197))</f>
        <v>Bob</v>
      </c>
      <c r="D197">
        <v>21</v>
      </c>
      <c r="E197" t="s">
        <v>13</v>
      </c>
      <c r="F197" t="s">
        <v>2</v>
      </c>
      <c r="G197" s="4">
        <v>5</v>
      </c>
      <c r="H197">
        <v>489.86</v>
      </c>
      <c r="I197" s="5">
        <v>45473</v>
      </c>
      <c r="J197" t="s">
        <v>212</v>
      </c>
      <c r="K197" t="s">
        <v>8</v>
      </c>
      <c r="L197">
        <f t="shared" si="9"/>
        <v>2449.3000000000002</v>
      </c>
      <c r="M197">
        <f t="shared" si="10"/>
        <v>6</v>
      </c>
      <c r="N197">
        <f t="shared" si="11"/>
        <v>1</v>
      </c>
    </row>
    <row r="198" spans="1:14" x14ac:dyDescent="0.3">
      <c r="A198">
        <v>1053</v>
      </c>
      <c r="B198" t="s">
        <v>25</v>
      </c>
      <c r="C198" t="str">
        <f>PROPER(TRIM(B198))</f>
        <v>Frank</v>
      </c>
      <c r="D198">
        <v>22</v>
      </c>
      <c r="E198" t="s">
        <v>13</v>
      </c>
      <c r="F198" t="s">
        <v>2</v>
      </c>
      <c r="G198" s="4">
        <v>3</v>
      </c>
      <c r="H198">
        <v>492.96</v>
      </c>
      <c r="I198" s="5">
        <v>45446</v>
      </c>
      <c r="J198" t="s">
        <v>213</v>
      </c>
      <c r="K198" t="s">
        <v>8</v>
      </c>
      <c r="L198">
        <f t="shared" si="9"/>
        <v>1478.8799999999999</v>
      </c>
      <c r="M198">
        <f t="shared" si="10"/>
        <v>6</v>
      </c>
      <c r="N198">
        <f t="shared" si="11"/>
        <v>1</v>
      </c>
    </row>
    <row r="199" spans="1:14" x14ac:dyDescent="0.3">
      <c r="A199">
        <v>1036</v>
      </c>
      <c r="B199" t="s">
        <v>0</v>
      </c>
      <c r="C199" t="str">
        <f>PROPER(TRIM(B199))</f>
        <v>Alice</v>
      </c>
      <c r="D199">
        <v>24</v>
      </c>
      <c r="E199" t="s">
        <v>13</v>
      </c>
      <c r="F199" t="s">
        <v>6</v>
      </c>
      <c r="G199" s="4">
        <v>5</v>
      </c>
      <c r="H199">
        <v>495.57</v>
      </c>
      <c r="I199" s="5">
        <v>45385</v>
      </c>
      <c r="J199" t="s">
        <v>214</v>
      </c>
      <c r="K199" t="s">
        <v>8</v>
      </c>
      <c r="L199">
        <f t="shared" si="9"/>
        <v>2477.85</v>
      </c>
      <c r="M199">
        <f t="shared" si="10"/>
        <v>4</v>
      </c>
      <c r="N199">
        <f t="shared" si="11"/>
        <v>1</v>
      </c>
    </row>
    <row r="200" spans="1:14" x14ac:dyDescent="0.3">
      <c r="A200">
        <v>1083</v>
      </c>
      <c r="B200" t="s">
        <v>17</v>
      </c>
      <c r="C200" t="str">
        <f>PROPER(TRIM(B200))</f>
        <v>Charlie</v>
      </c>
      <c r="D200">
        <v>23</v>
      </c>
      <c r="E200" t="s">
        <v>13</v>
      </c>
      <c r="F200" t="s">
        <v>6</v>
      </c>
      <c r="G200" s="4">
        <v>3</v>
      </c>
      <c r="H200">
        <v>496.16</v>
      </c>
      <c r="I200" s="5">
        <v>45331</v>
      </c>
      <c r="J200" t="s">
        <v>215</v>
      </c>
      <c r="K200" t="s">
        <v>8</v>
      </c>
      <c r="L200">
        <f t="shared" si="9"/>
        <v>1488.48</v>
      </c>
      <c r="M200">
        <f t="shared" si="10"/>
        <v>2</v>
      </c>
      <c r="N200">
        <f t="shared" si="11"/>
        <v>1</v>
      </c>
    </row>
    <row r="201" spans="1:14" x14ac:dyDescent="0.3">
      <c r="A201">
        <v>1088</v>
      </c>
      <c r="B201" t="s">
        <v>17</v>
      </c>
      <c r="C201" t="str">
        <f>PROPER(TRIM(B201))</f>
        <v>Charlie</v>
      </c>
      <c r="D201">
        <v>20</v>
      </c>
      <c r="E201" t="s">
        <v>13</v>
      </c>
      <c r="F201" t="s">
        <v>2</v>
      </c>
      <c r="G201" s="4">
        <v>5</v>
      </c>
      <c r="H201">
        <v>498.35</v>
      </c>
      <c r="I201" s="5">
        <v>45306</v>
      </c>
      <c r="J201" t="s">
        <v>216</v>
      </c>
      <c r="K201" t="s">
        <v>11</v>
      </c>
      <c r="L201">
        <f t="shared" si="9"/>
        <v>2491.75</v>
      </c>
      <c r="M201">
        <f t="shared" si="10"/>
        <v>1</v>
      </c>
      <c r="N201">
        <f t="shared" si="11"/>
        <v>0</v>
      </c>
    </row>
    <row r="202" spans="1:14" x14ac:dyDescent="0.3">
      <c r="B202" s="5"/>
      <c r="G202"/>
      <c r="I202"/>
    </row>
    <row r="203" spans="1:14" x14ac:dyDescent="0.3">
      <c r="B203" s="5"/>
      <c r="G203"/>
      <c r="I203"/>
    </row>
    <row r="204" spans="1:14" x14ac:dyDescent="0.3">
      <c r="B204" s="5"/>
      <c r="G204"/>
      <c r="I204"/>
    </row>
    <row r="205" spans="1:14" x14ac:dyDescent="0.3">
      <c r="B205" s="5"/>
      <c r="G205"/>
      <c r="I205"/>
    </row>
    <row r="206" spans="1:14" x14ac:dyDescent="0.3">
      <c r="B206" s="5"/>
      <c r="G206"/>
      <c r="I206"/>
    </row>
    <row r="207" spans="1:14" x14ac:dyDescent="0.3">
      <c r="B207" s="5"/>
      <c r="G207"/>
      <c r="I207"/>
    </row>
    <row r="208" spans="1:14" x14ac:dyDescent="0.3">
      <c r="B208" s="5"/>
      <c r="G208"/>
      <c r="I208"/>
    </row>
    <row r="209" spans="2:9" x14ac:dyDescent="0.3">
      <c r="B209" s="5"/>
      <c r="G209"/>
      <c r="I209"/>
    </row>
    <row r="210" spans="2:9" x14ac:dyDescent="0.3">
      <c r="B210" s="5"/>
      <c r="G210"/>
      <c r="I210"/>
    </row>
    <row r="211" spans="2:9" x14ac:dyDescent="0.3">
      <c r="B211" s="5"/>
      <c r="G211"/>
      <c r="I2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Laurence</dc:creator>
  <cp:lastModifiedBy>Kent Laurence</cp:lastModifiedBy>
  <dcterms:created xsi:type="dcterms:W3CDTF">2025-11-28T14:31:49Z</dcterms:created>
  <dcterms:modified xsi:type="dcterms:W3CDTF">2025-11-28T14:33:51Z</dcterms:modified>
</cp:coreProperties>
</file>