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305c2d046ac5e3df/Desktop/bast/"/>
    </mc:Choice>
  </mc:AlternateContent>
  <xr:revisionPtr revIDLastSave="0" documentId="8_{F8AC8A21-FF7D-44B1-9AE8-825CB82409D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aw_Data" sheetId="1" r:id="rId1"/>
    <sheet name="Cleaned 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2" l="1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N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M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</calcChain>
</file>

<file path=xl/sharedStrings.xml><?xml version="1.0" encoding="utf-8"?>
<sst xmlns="http://schemas.openxmlformats.org/spreadsheetml/2006/main" count="4632" uniqueCount="924">
  <si>
    <t>Full_Name</t>
  </si>
  <si>
    <t>Age</t>
  </si>
  <si>
    <t>Gender</t>
  </si>
  <si>
    <t>City</t>
  </si>
  <si>
    <t>Email_Address</t>
  </si>
  <si>
    <t>Satisfaction_Rating</t>
  </si>
  <si>
    <t>Purchase_Frequency</t>
  </si>
  <si>
    <t>Join_Date</t>
  </si>
  <si>
    <t>Last_Purchase_Date</t>
  </si>
  <si>
    <t>Account_Status</t>
  </si>
  <si>
    <t>Remarks</t>
  </si>
  <si>
    <t>Maria</t>
  </si>
  <si>
    <t>female</t>
  </si>
  <si>
    <t>dvo</t>
  </si>
  <si>
    <t>user0 yahoo</t>
  </si>
  <si>
    <t>4</t>
  </si>
  <si>
    <t>Weekly</t>
  </si>
  <si>
    <t>03/28/2024</t>
  </si>
  <si>
    <t>08-02-2024</t>
  </si>
  <si>
    <t>Inactive</t>
  </si>
  <si>
    <t>???</t>
  </si>
  <si>
    <t>Peter</t>
  </si>
  <si>
    <t>0</t>
  </si>
  <si>
    <t>Male</t>
  </si>
  <si>
    <t>Cagayan de Oro</t>
  </si>
  <si>
    <t>user1 gmail</t>
  </si>
  <si>
    <t>7</t>
  </si>
  <si>
    <t>Monthly</t>
  </si>
  <si>
    <t>27-05-2024</t>
  </si>
  <si>
    <t>2024/05/01</t>
  </si>
  <si>
    <t>--none--</t>
  </si>
  <si>
    <t>Marria</t>
  </si>
  <si>
    <t>-</t>
  </si>
  <si>
    <t>cebu</t>
  </si>
  <si>
    <t>user2 yahoo.com</t>
  </si>
  <si>
    <t>2</t>
  </si>
  <si>
    <t>2x/mo</t>
  </si>
  <si>
    <t>2024/03/03</t>
  </si>
  <si>
    <t>12-02-2024</t>
  </si>
  <si>
    <t>Active</t>
  </si>
  <si>
    <t xml:space="preserve"> satisfied </t>
  </si>
  <si>
    <t>femlae</t>
  </si>
  <si>
    <t>CdO</t>
  </si>
  <si>
    <t>user3outlook.com</t>
  </si>
  <si>
    <t>05/14/2024</t>
  </si>
  <si>
    <t>2024/04/08</t>
  </si>
  <si>
    <t>Ana  Marie</t>
  </si>
  <si>
    <t>Cagayan De oro</t>
  </si>
  <si>
    <t>user4 yahoo.com</t>
  </si>
  <si>
    <t>1</t>
  </si>
  <si>
    <t>09-01-2024</t>
  </si>
  <si>
    <t>28-01-2024</t>
  </si>
  <si>
    <t>Actve</t>
  </si>
  <si>
    <t>ok!!</t>
  </si>
  <si>
    <t>Female</t>
  </si>
  <si>
    <t>user5yahoo .com</t>
  </si>
  <si>
    <t>five</t>
  </si>
  <si>
    <t>03/19/2024</t>
  </si>
  <si>
    <t>17-04-2024</t>
  </si>
  <si>
    <t>active</t>
  </si>
  <si>
    <t xml:space="preserve">   bad   </t>
  </si>
  <si>
    <t>twenty-two</t>
  </si>
  <si>
    <t>male</t>
  </si>
  <si>
    <t>manila</t>
  </si>
  <si>
    <t>user6@@outlook .com</t>
  </si>
  <si>
    <t>5</t>
  </si>
  <si>
    <t>26-01-2024</t>
  </si>
  <si>
    <t>2024/06/08</t>
  </si>
  <si>
    <t>Unknown</t>
  </si>
  <si>
    <t>user7 outlook .com</t>
  </si>
  <si>
    <t>3</t>
  </si>
  <si>
    <t>2024/04/17</t>
  </si>
  <si>
    <t>02/10/2024</t>
  </si>
  <si>
    <t>Lizza</t>
  </si>
  <si>
    <t>user8@@gmail.com</t>
  </si>
  <si>
    <t>Bi-monthly</t>
  </si>
  <si>
    <t>2024/01/25</t>
  </si>
  <si>
    <t>very good</t>
  </si>
  <si>
    <t>P3ter</t>
  </si>
  <si>
    <t>MNL</t>
  </si>
  <si>
    <t>user9@@yahoo .com</t>
  </si>
  <si>
    <t>01-06-2024</t>
  </si>
  <si>
    <t>14-03-2024</t>
  </si>
  <si>
    <t>Manila</t>
  </si>
  <si>
    <t>user10outlook.com</t>
  </si>
  <si>
    <t>-1</t>
  </si>
  <si>
    <t>12-04-2024</t>
  </si>
  <si>
    <t>2024/04/11</t>
  </si>
  <si>
    <t>user11 gmail</t>
  </si>
  <si>
    <t>once</t>
  </si>
  <si>
    <t>19-01-2024</t>
  </si>
  <si>
    <t>2024/05/27</t>
  </si>
  <si>
    <t>user12@@outlook.com</t>
  </si>
  <si>
    <t>2024/01/26</t>
  </si>
  <si>
    <t>03/24/2024</t>
  </si>
  <si>
    <t>deact</t>
  </si>
  <si>
    <t xml:space="preserve">19 </t>
  </si>
  <si>
    <t>user13@@yahoo.com</t>
  </si>
  <si>
    <t>17-03-2024</t>
  </si>
  <si>
    <t>01/03/2024</t>
  </si>
  <si>
    <t>!!!</t>
  </si>
  <si>
    <t>M</t>
  </si>
  <si>
    <t>user14outlook</t>
  </si>
  <si>
    <t>1x</t>
  </si>
  <si>
    <t>22-02-2024</t>
  </si>
  <si>
    <t>2024/01/18</t>
  </si>
  <si>
    <t>Marc  Anthony</t>
  </si>
  <si>
    <t>F</t>
  </si>
  <si>
    <t>user15yahoo.com</t>
  </si>
  <si>
    <t>twice month</t>
  </si>
  <si>
    <t>2024/01/14</t>
  </si>
  <si>
    <t>10-04-2024</t>
  </si>
  <si>
    <t>user16outlook</t>
  </si>
  <si>
    <t>08-06-2024</t>
  </si>
  <si>
    <t>2024/04/09</t>
  </si>
  <si>
    <t>good</t>
  </si>
  <si>
    <t>Liza</t>
  </si>
  <si>
    <t>user17outlook .com</t>
  </si>
  <si>
    <t>02-01-2024</t>
  </si>
  <si>
    <t>John  Doe</t>
  </si>
  <si>
    <t>Cag. de Oro</t>
  </si>
  <si>
    <t>user18@@yahoo</t>
  </si>
  <si>
    <t>07-03-2024</t>
  </si>
  <si>
    <t>02/20/2024</t>
  </si>
  <si>
    <t>user19gmail .com</t>
  </si>
  <si>
    <t>03/09/2024</t>
  </si>
  <si>
    <t>17-05-2024</t>
  </si>
  <si>
    <t>N/A</t>
  </si>
  <si>
    <t>user20 outlook.com</t>
  </si>
  <si>
    <t>one time</t>
  </si>
  <si>
    <t>24-04-2024</t>
  </si>
  <si>
    <t>04-06-2024</t>
  </si>
  <si>
    <t>user21@@yahoo .com</t>
  </si>
  <si>
    <t>12-01-2024</t>
  </si>
  <si>
    <t>12-03-2024</t>
  </si>
  <si>
    <t>Mark Anthony</t>
  </si>
  <si>
    <t>user22yahoo</t>
  </si>
  <si>
    <t>02/08/2024</t>
  </si>
  <si>
    <t>06-02-2024</t>
  </si>
  <si>
    <t>user23yahoo</t>
  </si>
  <si>
    <t xml:space="preserve">4 </t>
  </si>
  <si>
    <t>Week ly</t>
  </si>
  <si>
    <t>18-06-2024</t>
  </si>
  <si>
    <t>user24gmail .com</t>
  </si>
  <si>
    <t>08-04-2024</t>
  </si>
  <si>
    <t>user25yahoo</t>
  </si>
  <si>
    <t>03/23/2024</t>
  </si>
  <si>
    <t>03-01-2024</t>
  </si>
  <si>
    <t>user26@@gmail</t>
  </si>
  <si>
    <t>08-05-2024</t>
  </si>
  <si>
    <t>2024/06/03</t>
  </si>
  <si>
    <t>user27 outlook .com</t>
  </si>
  <si>
    <t>2024/02/23</t>
  </si>
  <si>
    <t>2024/06/13</t>
  </si>
  <si>
    <t>Anna Marie</t>
  </si>
  <si>
    <t>Cebu</t>
  </si>
  <si>
    <t>user28outlook</t>
  </si>
  <si>
    <t>04/16/2024</t>
  </si>
  <si>
    <t>10-06-2024</t>
  </si>
  <si>
    <t>user29gmail.com</t>
  </si>
  <si>
    <t>03/15/2024</t>
  </si>
  <si>
    <t>2024/01/04</t>
  </si>
  <si>
    <t>Jhon Doe</t>
  </si>
  <si>
    <t>user30 yahoo</t>
  </si>
  <si>
    <t>2024/01/21</t>
  </si>
  <si>
    <t>04/21/2024</t>
  </si>
  <si>
    <t>Davao</t>
  </si>
  <si>
    <t>user31 gmail.com</t>
  </si>
  <si>
    <t>02/01/2024</t>
  </si>
  <si>
    <t>03/25/2024</t>
  </si>
  <si>
    <t>user32 outlook.com</t>
  </si>
  <si>
    <t>2024/05/15</t>
  </si>
  <si>
    <t>2024/04/19</t>
  </si>
  <si>
    <t>user33@@gmail.com</t>
  </si>
  <si>
    <t>2024/01/17</t>
  </si>
  <si>
    <t>26-04-2024</t>
  </si>
  <si>
    <t>user34@@outlook.com</t>
  </si>
  <si>
    <t>01/08/2024</t>
  </si>
  <si>
    <t>2024/04/23</t>
  </si>
  <si>
    <t>user35yahoo</t>
  </si>
  <si>
    <t>28-05-2024</t>
  </si>
  <si>
    <t>18-04-2024</t>
  </si>
  <si>
    <t>user36outlook.com</t>
  </si>
  <si>
    <t>02-04-2024</t>
  </si>
  <si>
    <t>01/20/2024</t>
  </si>
  <si>
    <t>user37@@gmail .com</t>
  </si>
  <si>
    <t>05/26/2024</t>
  </si>
  <si>
    <t>03/04/2024</t>
  </si>
  <si>
    <t>user38yahoo.com</t>
  </si>
  <si>
    <t>2024/02/12</t>
  </si>
  <si>
    <t>2024/04/18</t>
  </si>
  <si>
    <t>user39yahoo .com</t>
  </si>
  <si>
    <t>02-02-2024</t>
  </si>
  <si>
    <t>2024/04/10</t>
  </si>
  <si>
    <t>user40 gmail .com</t>
  </si>
  <si>
    <t>01/02/2024</t>
  </si>
  <si>
    <t>user41gmail .com</t>
  </si>
  <si>
    <t>2024/01/20</t>
  </si>
  <si>
    <t>05/17/2024</t>
  </si>
  <si>
    <t>user42 gmail</t>
  </si>
  <si>
    <t>02/14/2024</t>
  </si>
  <si>
    <t>2024/04/27</t>
  </si>
  <si>
    <t>user43 gmail</t>
  </si>
  <si>
    <t>18-01-2024</t>
  </si>
  <si>
    <t>04/10/2024</t>
  </si>
  <si>
    <t>user44@@yahoo .com</t>
  </si>
  <si>
    <t>06/13/2024</t>
  </si>
  <si>
    <t>08-03-2024</t>
  </si>
  <si>
    <t>user45@@gmail .com</t>
  </si>
  <si>
    <t>2024/02/05</t>
  </si>
  <si>
    <t>2024/06/02</t>
  </si>
  <si>
    <t>user46 outlook.com</t>
  </si>
  <si>
    <t>2024/05/17</t>
  </si>
  <si>
    <t>2024/03/16</t>
  </si>
  <si>
    <t>user47@@gmail</t>
  </si>
  <si>
    <t>04-01-2024</t>
  </si>
  <si>
    <t>user48 yahoo .com</t>
  </si>
  <si>
    <t>every weeek</t>
  </si>
  <si>
    <t>05-02-2024</t>
  </si>
  <si>
    <t>user49@@yahoo</t>
  </si>
  <si>
    <t>17-01-2024</t>
  </si>
  <si>
    <t>2024/03/02</t>
  </si>
  <si>
    <t>user50outlook</t>
  </si>
  <si>
    <t>2024/04/01</t>
  </si>
  <si>
    <t>06/06/2024</t>
  </si>
  <si>
    <t>user51@@yahoo .com</t>
  </si>
  <si>
    <t>04/19/2024</t>
  </si>
  <si>
    <t>2024/04/02</t>
  </si>
  <si>
    <t>user52@@yahoo .com</t>
  </si>
  <si>
    <t>15-02-2024</t>
  </si>
  <si>
    <t>05-04-2024</t>
  </si>
  <si>
    <t>user53 gmail</t>
  </si>
  <si>
    <t>01-05-2024</t>
  </si>
  <si>
    <t>24-02-2024</t>
  </si>
  <si>
    <t>user54@@yahoo.com</t>
  </si>
  <si>
    <t>07-06-2024</t>
  </si>
  <si>
    <t>08-01-2024</t>
  </si>
  <si>
    <t>user55outlook.com</t>
  </si>
  <si>
    <t>01/27/2024</t>
  </si>
  <si>
    <t>19-04-2024</t>
  </si>
  <si>
    <t>user56outlook.com</t>
  </si>
  <si>
    <t>2024/01/11</t>
  </si>
  <si>
    <t>user57@@outlook.com</t>
  </si>
  <si>
    <t>12-06-2024</t>
  </si>
  <si>
    <t>2024/01/06</t>
  </si>
  <si>
    <t>user58 outlook.com</t>
  </si>
  <si>
    <t>2024/04/04</t>
  </si>
  <si>
    <t>02/26/2024</t>
  </si>
  <si>
    <t>user59yahoo .com</t>
  </si>
  <si>
    <t>03/14/2024</t>
  </si>
  <si>
    <t>user60 yahoo .com</t>
  </si>
  <si>
    <t>2024/06/01</t>
  </si>
  <si>
    <t>03/07/2024</t>
  </si>
  <si>
    <t>user61@@yahoo.com</t>
  </si>
  <si>
    <t>04/28/2024</t>
  </si>
  <si>
    <t>user62@@outlook .com</t>
  </si>
  <si>
    <t>15-05-2024</t>
  </si>
  <si>
    <t>2024/04/20</t>
  </si>
  <si>
    <t>user63gmail</t>
  </si>
  <si>
    <t>03/26/2024</t>
  </si>
  <si>
    <t>07-01-2024</t>
  </si>
  <si>
    <t>user64@@outlook.com</t>
  </si>
  <si>
    <t>02/12/2024</t>
  </si>
  <si>
    <t>user65gmail</t>
  </si>
  <si>
    <t>03-03-2024</t>
  </si>
  <si>
    <t>2024/02/08</t>
  </si>
  <si>
    <t>user66 gmail.com</t>
  </si>
  <si>
    <t>21-03-2024</t>
  </si>
  <si>
    <t>17-02-2024</t>
  </si>
  <si>
    <t>user67@@yahoo .com</t>
  </si>
  <si>
    <t>05/06/2024</t>
  </si>
  <si>
    <t>01-04-2024</t>
  </si>
  <si>
    <t>user68yahoo .com</t>
  </si>
  <si>
    <t>25-03-2024</t>
  </si>
  <si>
    <t>user69 gmail</t>
  </si>
  <si>
    <t>04/01/2024</t>
  </si>
  <si>
    <t>2024/01/10</t>
  </si>
  <si>
    <t>user70 yahoo.com</t>
  </si>
  <si>
    <t>2024/05/02</t>
  </si>
  <si>
    <t>2024/02/03</t>
  </si>
  <si>
    <t>user71yahoo .com</t>
  </si>
  <si>
    <t>05-05-2024</t>
  </si>
  <si>
    <t>02/18/2024</t>
  </si>
  <si>
    <t>user72@@gmail.com</t>
  </si>
  <si>
    <t>2024/02/10</t>
  </si>
  <si>
    <t>2024/01/03</t>
  </si>
  <si>
    <t>user73outlook</t>
  </si>
  <si>
    <t>01/19/2024</t>
  </si>
  <si>
    <t>user74 yahoo</t>
  </si>
  <si>
    <t>06/28/2024</t>
  </si>
  <si>
    <t>user75 outlook.com</t>
  </si>
  <si>
    <t>05/04/2024</t>
  </si>
  <si>
    <t>2024/05/06</t>
  </si>
  <si>
    <t>user76 outlook.com</t>
  </si>
  <si>
    <t>13-01-2024</t>
  </si>
  <si>
    <t>04/07/2024</t>
  </si>
  <si>
    <t>user77@@outlook.com</t>
  </si>
  <si>
    <t>2024/03/23</t>
  </si>
  <si>
    <t>user78 outlook .com</t>
  </si>
  <si>
    <t>22-03-2024</t>
  </si>
  <si>
    <t>2024/06/22</t>
  </si>
  <si>
    <t>user79gmail .com</t>
  </si>
  <si>
    <t>2024/03/13</t>
  </si>
  <si>
    <t>06/27/2024</t>
  </si>
  <si>
    <t>user80@@yahoo.com</t>
  </si>
  <si>
    <t>2024/03/18</t>
  </si>
  <si>
    <t>user81@@gmail.com</t>
  </si>
  <si>
    <t>06-03-2024</t>
  </si>
  <si>
    <t>01/28/2024</t>
  </si>
  <si>
    <t>user82 outlook.com</t>
  </si>
  <si>
    <t>2024/01/28</t>
  </si>
  <si>
    <t>09-05-2024</t>
  </si>
  <si>
    <t>user83 gmail.com</t>
  </si>
  <si>
    <t>2024/06/23</t>
  </si>
  <si>
    <t>06/24/2024</t>
  </si>
  <si>
    <t>user84 gmail .com</t>
  </si>
  <si>
    <t>2024/05/03</t>
  </si>
  <si>
    <t>user85 yahoo.com</t>
  </si>
  <si>
    <t>11-03-2024</t>
  </si>
  <si>
    <t>19-02-2024</t>
  </si>
  <si>
    <t>user86@@outlook</t>
  </si>
  <si>
    <t>2024/02/06</t>
  </si>
  <si>
    <t>11-02-2024</t>
  </si>
  <si>
    <t>user87gmail.com</t>
  </si>
  <si>
    <t>02/17/2024</t>
  </si>
  <si>
    <t>05/16/2024</t>
  </si>
  <si>
    <t>user88@@gmail</t>
  </si>
  <si>
    <t>04/17/2024</t>
  </si>
  <si>
    <t>2024/02/26</t>
  </si>
  <si>
    <t>user89 gmail .com</t>
  </si>
  <si>
    <t>05/27/2024</t>
  </si>
  <si>
    <t>user90yahoo.com</t>
  </si>
  <si>
    <t>03/13/2024</t>
  </si>
  <si>
    <t>user91@@yahoo.com</t>
  </si>
  <si>
    <t>10-02-2024</t>
  </si>
  <si>
    <t>02/15/2024</t>
  </si>
  <si>
    <t>user92gmail .com</t>
  </si>
  <si>
    <t>2024/03/15</t>
  </si>
  <si>
    <t>13-04-2024</t>
  </si>
  <si>
    <t>user93@@yahoo.com</t>
  </si>
  <si>
    <t>10-03-2024</t>
  </si>
  <si>
    <t>user94 yahoo .com</t>
  </si>
  <si>
    <t>03/17/2024</t>
  </si>
  <si>
    <t>16-05-2024</t>
  </si>
  <si>
    <t>user95gmail .com</t>
  </si>
  <si>
    <t>2024/02/02</t>
  </si>
  <si>
    <t>user96@@gmail</t>
  </si>
  <si>
    <t>2024/01/05</t>
  </si>
  <si>
    <t>05/25/2024</t>
  </si>
  <si>
    <t>user97 outlook .com</t>
  </si>
  <si>
    <t>2024/06/18</t>
  </si>
  <si>
    <t>03/02/2024</t>
  </si>
  <si>
    <t>user98 yahoo .com</t>
  </si>
  <si>
    <t>21-05-2024</t>
  </si>
  <si>
    <t>user99outlook.com</t>
  </si>
  <si>
    <t>23-04-2024</t>
  </si>
  <si>
    <t>01/18/2024</t>
  </si>
  <si>
    <t>user100 gmail.com</t>
  </si>
  <si>
    <t>19-05-2024</t>
  </si>
  <si>
    <t>2024/06/04</t>
  </si>
  <si>
    <t>user101gmail .com</t>
  </si>
  <si>
    <t>03-04-2024</t>
  </si>
  <si>
    <t>user102gmail</t>
  </si>
  <si>
    <t>04/15/2024</t>
  </si>
  <si>
    <t>user103gmail .com</t>
  </si>
  <si>
    <t>02/28/2024</t>
  </si>
  <si>
    <t>user104 yahoo</t>
  </si>
  <si>
    <t>13-06-2024</t>
  </si>
  <si>
    <t>user105 outlook</t>
  </si>
  <si>
    <t>2024/02/21</t>
  </si>
  <si>
    <t>user106outlook</t>
  </si>
  <si>
    <t>04/14/2024</t>
  </si>
  <si>
    <t>04/24/2024</t>
  </si>
  <si>
    <t>user107@@gmail.com</t>
  </si>
  <si>
    <t>user108yahoo.com</t>
  </si>
  <si>
    <t>06/10/2024</t>
  </si>
  <si>
    <t>02/11/2024</t>
  </si>
  <si>
    <t>user109@@gmail.com</t>
  </si>
  <si>
    <t>14-05-2024</t>
  </si>
  <si>
    <t>user110gmail .com</t>
  </si>
  <si>
    <t>2024/05/22</t>
  </si>
  <si>
    <t>user111 outlook.com</t>
  </si>
  <si>
    <t>02/09/2024</t>
  </si>
  <si>
    <t>20-05-2024</t>
  </si>
  <si>
    <t>user112 outlook .com</t>
  </si>
  <si>
    <t>02-06-2024</t>
  </si>
  <si>
    <t>user113yahoo.com</t>
  </si>
  <si>
    <t>2024/03/28</t>
  </si>
  <si>
    <t>user114outlook .com</t>
  </si>
  <si>
    <t>05/10/2024</t>
  </si>
  <si>
    <t>01/07/2024</t>
  </si>
  <si>
    <t>user115 yahoo .com</t>
  </si>
  <si>
    <t>04/04/2024</t>
  </si>
  <si>
    <t>2024/02/15</t>
  </si>
  <si>
    <t>user116gmail</t>
  </si>
  <si>
    <t>02/27/2024</t>
  </si>
  <si>
    <t>user117@@gmail.com</t>
  </si>
  <si>
    <t>2024/03/24</t>
  </si>
  <si>
    <t>user118@@outlook</t>
  </si>
  <si>
    <t>05/02/2024</t>
  </si>
  <si>
    <t>user119 yahoo</t>
  </si>
  <si>
    <t>user120@@yahoo .com</t>
  </si>
  <si>
    <t>2024/06/14</t>
  </si>
  <si>
    <t>2024/06/11</t>
  </si>
  <si>
    <t>user121@@yahoo .com</t>
  </si>
  <si>
    <t>2024/05/23</t>
  </si>
  <si>
    <t>2024/06/15</t>
  </si>
  <si>
    <t>user122@@gmail.com</t>
  </si>
  <si>
    <t>05-01-2024</t>
  </si>
  <si>
    <t>user123yahoo .com</t>
  </si>
  <si>
    <t>2024/01/24</t>
  </si>
  <si>
    <t>2024/02/14</t>
  </si>
  <si>
    <t>user124gmail .com</t>
  </si>
  <si>
    <t>2024/03/25</t>
  </si>
  <si>
    <t>user125 outlook .com</t>
  </si>
  <si>
    <t>06/19/2024</t>
  </si>
  <si>
    <t>02/25/2024</t>
  </si>
  <si>
    <t>user126outlook.com</t>
  </si>
  <si>
    <t>09-03-2024</t>
  </si>
  <si>
    <t>user127 outlook .com</t>
  </si>
  <si>
    <t>user128 outlook.com</t>
  </si>
  <si>
    <t>18-05-2024</t>
  </si>
  <si>
    <t>user129 outlook .com</t>
  </si>
  <si>
    <t>user130yahoo .com</t>
  </si>
  <si>
    <t>01/06/2024</t>
  </si>
  <si>
    <t>user131@@gmail</t>
  </si>
  <si>
    <t>02-03-2024</t>
  </si>
  <si>
    <t>13-02-2024</t>
  </si>
  <si>
    <t>user132 yahoo</t>
  </si>
  <si>
    <t>01-02-2024</t>
  </si>
  <si>
    <t>2024/04/25</t>
  </si>
  <si>
    <t>user133 yahoo.com</t>
  </si>
  <si>
    <t>20-01-2024</t>
  </si>
  <si>
    <t>user134gmail.com</t>
  </si>
  <si>
    <t>04/13/2024</t>
  </si>
  <si>
    <t>user135outlook .com</t>
  </si>
  <si>
    <t>2024/02/17</t>
  </si>
  <si>
    <t>user136yahoo .com</t>
  </si>
  <si>
    <t>02/02/2024</t>
  </si>
  <si>
    <t>2024/03/20</t>
  </si>
  <si>
    <t>user137 outlook</t>
  </si>
  <si>
    <t>14-04-2024</t>
  </si>
  <si>
    <t>user138@@gmail</t>
  </si>
  <si>
    <t>2024/05/18</t>
  </si>
  <si>
    <t>user139 outlook</t>
  </si>
  <si>
    <t>user140yahoo .com</t>
  </si>
  <si>
    <t>user141outlook</t>
  </si>
  <si>
    <t>2024/03/11</t>
  </si>
  <si>
    <t>03/22/2024</t>
  </si>
  <si>
    <t>user142@@yahoo</t>
  </si>
  <si>
    <t>25-04-2024</t>
  </si>
  <si>
    <t>user143@@outlook</t>
  </si>
  <si>
    <t>27-03-2024</t>
  </si>
  <si>
    <t>user144@@yahoo .com</t>
  </si>
  <si>
    <t>2024/04/15</t>
  </si>
  <si>
    <t>user145 outlook.com</t>
  </si>
  <si>
    <t>2024/06/07</t>
  </si>
  <si>
    <t>06/16/2024</t>
  </si>
  <si>
    <t>user146 outlook.com</t>
  </si>
  <si>
    <t>14-02-2024</t>
  </si>
  <si>
    <t>01/14/2024</t>
  </si>
  <si>
    <t>user147 yahoo</t>
  </si>
  <si>
    <t>user148 gmail .com</t>
  </si>
  <si>
    <t>user149 yahoo .com</t>
  </si>
  <si>
    <t>user150outlook.com</t>
  </si>
  <si>
    <t>13-03-2024</t>
  </si>
  <si>
    <t>2024/04/26</t>
  </si>
  <si>
    <t>user151@@outlook</t>
  </si>
  <si>
    <t>19-03-2024</t>
  </si>
  <si>
    <t>user152 outlook</t>
  </si>
  <si>
    <t>11-05-2024</t>
  </si>
  <si>
    <t>18-02-2024</t>
  </si>
  <si>
    <t>user153@@gmail .com</t>
  </si>
  <si>
    <t>23-02-2024</t>
  </si>
  <si>
    <t>user154 outlook.com</t>
  </si>
  <si>
    <t>2024/03/12</t>
  </si>
  <si>
    <t>user155@@yahoo</t>
  </si>
  <si>
    <t>2024/02/01</t>
  </si>
  <si>
    <t>user156@@yahoo</t>
  </si>
  <si>
    <t>06/23/2024</t>
  </si>
  <si>
    <t>2024/04/07</t>
  </si>
  <si>
    <t>user157gmail.com</t>
  </si>
  <si>
    <t>user158@@yahoo</t>
  </si>
  <si>
    <t>04/23/2024</t>
  </si>
  <si>
    <t>02-05-2024</t>
  </si>
  <si>
    <t>user159@@outlook.com</t>
  </si>
  <si>
    <t>07-04-2024</t>
  </si>
  <si>
    <t>2024/01/09</t>
  </si>
  <si>
    <t>user160outlook</t>
  </si>
  <si>
    <t>14-06-2024</t>
  </si>
  <si>
    <t>user161outlook</t>
  </si>
  <si>
    <t>04-03-2024</t>
  </si>
  <si>
    <t>2024/03/17</t>
  </si>
  <si>
    <t>user162@@outlook.com</t>
  </si>
  <si>
    <t>user163 yahoo.com</t>
  </si>
  <si>
    <t>16-02-2024</t>
  </si>
  <si>
    <t>user164gmail .com</t>
  </si>
  <si>
    <t>06/02/2024</t>
  </si>
  <si>
    <t>user165@@gmail.com</t>
  </si>
  <si>
    <t>user166 gmail .com</t>
  </si>
  <si>
    <t>user167@@yahoo.com</t>
  </si>
  <si>
    <t>09-06-2024</t>
  </si>
  <si>
    <t>user168@@gmail .com</t>
  </si>
  <si>
    <t>13-05-2024</t>
  </si>
  <si>
    <t>user169yahoo.com</t>
  </si>
  <si>
    <t>2024/01/16</t>
  </si>
  <si>
    <t>03/16/2024</t>
  </si>
  <si>
    <t>user170 outlook.com</t>
  </si>
  <si>
    <t>user171 yahoo.com</t>
  </si>
  <si>
    <t>2024/02/22</t>
  </si>
  <si>
    <t>01/09/2024</t>
  </si>
  <si>
    <t>user172@@gmail</t>
  </si>
  <si>
    <t>2024/02/28</t>
  </si>
  <si>
    <t>user173 gmail.com</t>
  </si>
  <si>
    <t>user174 yahoo .com</t>
  </si>
  <si>
    <t>27-06-2024</t>
  </si>
  <si>
    <t>02/04/2024</t>
  </si>
  <si>
    <t>user175@@outlook .com</t>
  </si>
  <si>
    <t>11-06-2024</t>
  </si>
  <si>
    <t>user176@@outlook.com</t>
  </si>
  <si>
    <t>user177@@outlook .com</t>
  </si>
  <si>
    <t>user178@@yahoo.com</t>
  </si>
  <si>
    <t>06/22/2024</t>
  </si>
  <si>
    <t>user179@@yahoo.com</t>
  </si>
  <si>
    <t>06/12/2024</t>
  </si>
  <si>
    <t>user180 yahoo .com</t>
  </si>
  <si>
    <t>03/21/2024</t>
  </si>
  <si>
    <t>user181@@outlook .com</t>
  </si>
  <si>
    <t>user182 outlook .com</t>
  </si>
  <si>
    <t>2024/03/19</t>
  </si>
  <si>
    <t>user183@@yahoo.com</t>
  </si>
  <si>
    <t>user184outlook.com</t>
  </si>
  <si>
    <t>04/06/2024</t>
  </si>
  <si>
    <t>user185@@gmail .com</t>
  </si>
  <si>
    <t>28-03-2024</t>
  </si>
  <si>
    <t>2024/02/13</t>
  </si>
  <si>
    <t>user186 outlook</t>
  </si>
  <si>
    <t>2024/05/28</t>
  </si>
  <si>
    <t>2024/05/13</t>
  </si>
  <si>
    <t>user187gmail .com</t>
  </si>
  <si>
    <t>16-03-2024</t>
  </si>
  <si>
    <t>2024/01/27</t>
  </si>
  <si>
    <t>user188yahoo</t>
  </si>
  <si>
    <t>22-01-2024</t>
  </si>
  <si>
    <t>2024/04/06</t>
  </si>
  <si>
    <t>user189 gmail.com</t>
  </si>
  <si>
    <t>2024/05/20</t>
  </si>
  <si>
    <t>2024/02/07</t>
  </si>
  <si>
    <t>user190@@yahoo</t>
  </si>
  <si>
    <t>04/22/2024</t>
  </si>
  <si>
    <t>06/09/2024</t>
  </si>
  <si>
    <t>user191 gmail.com</t>
  </si>
  <si>
    <t>user192 gmail .com</t>
  </si>
  <si>
    <t>user193yahoo .com</t>
  </si>
  <si>
    <t>02/21/2024</t>
  </si>
  <si>
    <t>01/17/2024</t>
  </si>
  <si>
    <t>user194 outlook.com</t>
  </si>
  <si>
    <t>user195@@gmail.com</t>
  </si>
  <si>
    <t>2024/03/27</t>
  </si>
  <si>
    <t>04/02/2024</t>
  </si>
  <si>
    <t>user196 yahoo</t>
  </si>
  <si>
    <t>2024/01/23</t>
  </si>
  <si>
    <t>user197outlook.com</t>
  </si>
  <si>
    <t>user198@@outlook.com</t>
  </si>
  <si>
    <t>user199 outlook</t>
  </si>
  <si>
    <t>16-04-2024</t>
  </si>
  <si>
    <t>user200yahoo.com</t>
  </si>
  <si>
    <t>2024/05/26</t>
  </si>
  <si>
    <t>user201 gmail</t>
  </si>
  <si>
    <t>user202gmail.com</t>
  </si>
  <si>
    <t>2024/04/05</t>
  </si>
  <si>
    <t>user203yahoo .com</t>
  </si>
  <si>
    <t>10-01-2024</t>
  </si>
  <si>
    <t>user204 outlook.com</t>
  </si>
  <si>
    <t>02/22/2024</t>
  </si>
  <si>
    <t>user205 outlook.com</t>
  </si>
  <si>
    <t>2024/04/22</t>
  </si>
  <si>
    <t>2024/04/03</t>
  </si>
  <si>
    <t>user206outlook.com</t>
  </si>
  <si>
    <t>02/07/2024</t>
  </si>
  <si>
    <t>user207 outlook.com</t>
  </si>
  <si>
    <t>28-06-2024</t>
  </si>
  <si>
    <t>user208@@outlook .com</t>
  </si>
  <si>
    <t>user209yahoo</t>
  </si>
  <si>
    <t>14-01-2024</t>
  </si>
  <si>
    <t>user210@@outlook .com</t>
  </si>
  <si>
    <t>06/03/2024</t>
  </si>
  <si>
    <t>user211yahoo .com</t>
  </si>
  <si>
    <t>01/04/2024</t>
  </si>
  <si>
    <t>user212@@outlook.com</t>
  </si>
  <si>
    <t>user213 yahoo</t>
  </si>
  <si>
    <t>2024/01/01</t>
  </si>
  <si>
    <t>05/19/2024</t>
  </si>
  <si>
    <t>user214gmail</t>
  </si>
  <si>
    <t>01/10/2024</t>
  </si>
  <si>
    <t>user215 gmail .com</t>
  </si>
  <si>
    <t>2024/06/05</t>
  </si>
  <si>
    <t>user216outlook.com</t>
  </si>
  <si>
    <t>2024/01/07</t>
  </si>
  <si>
    <t>user217outlook.com</t>
  </si>
  <si>
    <t>2024/02/24</t>
  </si>
  <si>
    <t>2024/01/12</t>
  </si>
  <si>
    <t>user218@@gmail.com</t>
  </si>
  <si>
    <t>01-03-2024</t>
  </si>
  <si>
    <t>user219 gmail</t>
  </si>
  <si>
    <t>user220 gmail</t>
  </si>
  <si>
    <t>2024/05/25</t>
  </si>
  <si>
    <t>user221 yahoo .com</t>
  </si>
  <si>
    <t>05/15/2024</t>
  </si>
  <si>
    <t>user222@@yahoo</t>
  </si>
  <si>
    <t>2024/02/04</t>
  </si>
  <si>
    <t>user223@@outlook.com</t>
  </si>
  <si>
    <t>03/01/2024</t>
  </si>
  <si>
    <t>user224@@outlook .com</t>
  </si>
  <si>
    <t>user225@@gmail</t>
  </si>
  <si>
    <t>user226@@outlook</t>
  </si>
  <si>
    <t>user227gmail .com</t>
  </si>
  <si>
    <t>06/20/2024</t>
  </si>
  <si>
    <t>user228 gmail .com</t>
  </si>
  <si>
    <t>user229yahoo .com</t>
  </si>
  <si>
    <t>07-02-2024</t>
  </si>
  <si>
    <t>04/27/2024</t>
  </si>
  <si>
    <t>user230@@yahoo.com</t>
  </si>
  <si>
    <t>user231@@yahoo.com</t>
  </si>
  <si>
    <t>user232 yahoo</t>
  </si>
  <si>
    <t>user233 gmail</t>
  </si>
  <si>
    <t>user234 yahoo .com</t>
  </si>
  <si>
    <t>2024/01/22</t>
  </si>
  <si>
    <t>04/26/2024</t>
  </si>
  <si>
    <t>user235 gmail .com</t>
  </si>
  <si>
    <t>05-06-2024</t>
  </si>
  <si>
    <t>user236outlook</t>
  </si>
  <si>
    <t>user237gmail.com</t>
  </si>
  <si>
    <t>2024/03/08</t>
  </si>
  <si>
    <t>user238yahoo</t>
  </si>
  <si>
    <t>23-01-2024</t>
  </si>
  <si>
    <t>user239yahoo .com</t>
  </si>
  <si>
    <t>user240@@gmail.com</t>
  </si>
  <si>
    <t>06-06-2024</t>
  </si>
  <si>
    <t>user241 outlook.com</t>
  </si>
  <si>
    <t>03-05-2024</t>
  </si>
  <si>
    <t>user242 outlook</t>
  </si>
  <si>
    <t>01/25/2024</t>
  </si>
  <si>
    <t>user243@@yahoo</t>
  </si>
  <si>
    <t>04/18/2024</t>
  </si>
  <si>
    <t>user244 outlook</t>
  </si>
  <si>
    <t>22-06-2024</t>
  </si>
  <si>
    <t>05/08/2024</t>
  </si>
  <si>
    <t>user245 yahoo</t>
  </si>
  <si>
    <t>2024/03/07</t>
  </si>
  <si>
    <t>user246@@outlook .com</t>
  </si>
  <si>
    <t>user247 gmail.com</t>
  </si>
  <si>
    <t>06/04/2024</t>
  </si>
  <si>
    <t>user248@@yahoo .com</t>
  </si>
  <si>
    <t>user249yahoo .com</t>
  </si>
  <si>
    <t xml:space="preserve"> </t>
  </si>
  <si>
    <t>c</t>
  </si>
  <si>
    <t>Ana Marie</t>
  </si>
  <si>
    <t>C</t>
  </si>
  <si>
    <t>Marc Anthony</t>
  </si>
  <si>
    <t>John Doe</t>
  </si>
  <si>
    <t>Others</t>
  </si>
  <si>
    <t>user6@outlook.com</t>
  </si>
  <si>
    <t>user8@gmail.com</t>
  </si>
  <si>
    <t>user9@yahoo.com</t>
  </si>
  <si>
    <t>user12@outlook.com</t>
  </si>
  <si>
    <t>user13@yahoo.com</t>
  </si>
  <si>
    <t>user18@yahoo.com</t>
  </si>
  <si>
    <t>user21@yahoo.com</t>
  </si>
  <si>
    <t>user26@gmail.com</t>
  </si>
  <si>
    <t>user33@gmail.com</t>
  </si>
  <si>
    <t>user34@outlook.com</t>
  </si>
  <si>
    <t>user37@gmail.com</t>
  </si>
  <si>
    <t>user44@yahoo.com</t>
  </si>
  <si>
    <t>user45@gmail.com</t>
  </si>
  <si>
    <t>user47@gmail.com</t>
  </si>
  <si>
    <t>user49@yahoo.com</t>
  </si>
  <si>
    <t>user51@yahoo.com</t>
  </si>
  <si>
    <t>user52@yahoo.com</t>
  </si>
  <si>
    <t>user54@yahoo.com</t>
  </si>
  <si>
    <t>user57@outlook.com</t>
  </si>
  <si>
    <t>user61@yahoo.com</t>
  </si>
  <si>
    <t>user62@outlook.com</t>
  </si>
  <si>
    <t>user64@outlook.com</t>
  </si>
  <si>
    <t>user67@yahoo.com</t>
  </si>
  <si>
    <t>user72@gmail.com</t>
  </si>
  <si>
    <t>user77@outlook.com</t>
  </si>
  <si>
    <t>user80@yahoo.com</t>
  </si>
  <si>
    <t>user81@gmail.com</t>
  </si>
  <si>
    <t>user86@outlook.com</t>
  </si>
  <si>
    <t>user88@gmail.com</t>
  </si>
  <si>
    <t>user91@yahoo.com</t>
  </si>
  <si>
    <t>user93@yahoo.com</t>
  </si>
  <si>
    <t>user96@gmail.com</t>
  </si>
  <si>
    <t>user107@gmail.com</t>
  </si>
  <si>
    <t>user109@gmail.com</t>
  </si>
  <si>
    <t>user117@gmail.com</t>
  </si>
  <si>
    <t>user118@outlook.com</t>
  </si>
  <si>
    <t>user120@yahoo.com</t>
  </si>
  <si>
    <t>user121@yahoo.com</t>
  </si>
  <si>
    <t>user122@gmail.com</t>
  </si>
  <si>
    <t>user131@gmail.com</t>
  </si>
  <si>
    <t>user138@gmail.com</t>
  </si>
  <si>
    <t>user142@yahoo.com</t>
  </si>
  <si>
    <t>user143@outlook.com</t>
  </si>
  <si>
    <t>user144@yahoo.com</t>
  </si>
  <si>
    <t>user151@outlook.com</t>
  </si>
  <si>
    <t>user153@gmail.com</t>
  </si>
  <si>
    <t>user155@yahoo.com</t>
  </si>
  <si>
    <t>user156@yahoo.com</t>
  </si>
  <si>
    <t>user158@yahoo.com</t>
  </si>
  <si>
    <t>user159@outlook.com</t>
  </si>
  <si>
    <t>user162@outlook.com</t>
  </si>
  <si>
    <t>user165@gmail.com</t>
  </si>
  <si>
    <t>user167@yahoo.com</t>
  </si>
  <si>
    <t>user168@gmail.com</t>
  </si>
  <si>
    <t>user172@gmail.com</t>
  </si>
  <si>
    <t>user175@outlook.com</t>
  </si>
  <si>
    <t>user176@outlook.com</t>
  </si>
  <si>
    <t>user177@outlook.com</t>
  </si>
  <si>
    <t>user178@yahoo.com</t>
  </si>
  <si>
    <t>user179@yahoo.com</t>
  </si>
  <si>
    <t>user181@outlook.com</t>
  </si>
  <si>
    <t>user183@yahoo.com</t>
  </si>
  <si>
    <t>user185@gmail.com</t>
  </si>
  <si>
    <t>user190@yahoo.com</t>
  </si>
  <si>
    <t>user195@gmail.com</t>
  </si>
  <si>
    <t>user198@outlook.com</t>
  </si>
  <si>
    <t>user208@outlook.com</t>
  </si>
  <si>
    <t>user210@outlook.com</t>
  </si>
  <si>
    <t>user212@outlook.com</t>
  </si>
  <si>
    <t>user218@gmail.com</t>
  </si>
  <si>
    <t>user222@yahoo.com</t>
  </si>
  <si>
    <t>user223@outlook.com</t>
  </si>
  <si>
    <t>user224@outlook.com</t>
  </si>
  <si>
    <t>user225@gmail.com</t>
  </si>
  <si>
    <t>user226@outlook.com</t>
  </si>
  <si>
    <t>user230@yahoo.com</t>
  </si>
  <si>
    <t>user231@yahoo.com</t>
  </si>
  <si>
    <t>user240@gmail.com</t>
  </si>
  <si>
    <t>user243@yahoo.com</t>
  </si>
  <si>
    <t>user246@outlook.com</t>
  </si>
  <si>
    <t>user248@yahoo.com</t>
  </si>
  <si>
    <t>user0@yahoo.com</t>
  </si>
  <si>
    <t>user1@gmail.com</t>
  </si>
  <si>
    <t>user3@outlook.com</t>
  </si>
  <si>
    <t>user4@yahoo.com</t>
  </si>
  <si>
    <t>user5@yahoo.com</t>
  </si>
  <si>
    <t>user7@outlook.com</t>
  </si>
  <si>
    <t>user10@outlook.com</t>
  </si>
  <si>
    <t>user11@gmail.com</t>
  </si>
  <si>
    <t>user14@outlook.com</t>
  </si>
  <si>
    <t>user15@yahoo.com</t>
  </si>
  <si>
    <t>user16@outlook.com</t>
  </si>
  <si>
    <t>user17@outlook.com</t>
  </si>
  <si>
    <t>user19@gmail.com</t>
  </si>
  <si>
    <t>user20@outlook.com</t>
  </si>
  <si>
    <t>user22@yahoo.com</t>
  </si>
  <si>
    <t>user23@yahoo.com</t>
  </si>
  <si>
    <t>user24@gmail.com</t>
  </si>
  <si>
    <t>user25@yahoo.com</t>
  </si>
  <si>
    <t>user27@outlook.com</t>
  </si>
  <si>
    <t>user28@outlook.com</t>
  </si>
  <si>
    <t>user29@gmail.com</t>
  </si>
  <si>
    <t>user30@yahoo.com</t>
  </si>
  <si>
    <t>user31@gmail.com</t>
  </si>
  <si>
    <t>user32@outlook.com</t>
  </si>
  <si>
    <t>user35@yahoo.com</t>
  </si>
  <si>
    <t>user36@outlook.com</t>
  </si>
  <si>
    <t>user38@yahoo.com</t>
  </si>
  <si>
    <t>user39@yahoo.com</t>
  </si>
  <si>
    <t>user40@gmail.com</t>
  </si>
  <si>
    <t>user41@gmail.com</t>
  </si>
  <si>
    <t>user42@gmail.com</t>
  </si>
  <si>
    <t>user43@gmail.com</t>
  </si>
  <si>
    <t>user53@gmail.com</t>
  </si>
  <si>
    <t>user63@gmail.com</t>
  </si>
  <si>
    <t>user65@gmail.com</t>
  </si>
  <si>
    <t>user66@gmail.com</t>
  </si>
  <si>
    <t>user69@gmail.com</t>
  </si>
  <si>
    <t>user79@gmail.com</t>
  </si>
  <si>
    <t>user83@gmail.com</t>
  </si>
  <si>
    <t>user84@gmail.com</t>
  </si>
  <si>
    <t>user87@gmail.com</t>
  </si>
  <si>
    <t>user89@gmail.com</t>
  </si>
  <si>
    <t>user92@gmail.com</t>
  </si>
  <si>
    <t>user95@gmail.com</t>
  </si>
  <si>
    <t>user100@gmail.com</t>
  </si>
  <si>
    <t>user101@gmail.com</t>
  </si>
  <si>
    <t>user102@gmail.com</t>
  </si>
  <si>
    <t>user103@gmail.com</t>
  </si>
  <si>
    <t>user110@gmail.com</t>
  </si>
  <si>
    <t>user116@gmail.com</t>
  </si>
  <si>
    <t>user124@gmail.com</t>
  </si>
  <si>
    <t>user134@gmail.com</t>
  </si>
  <si>
    <t>user148@gmail.com</t>
  </si>
  <si>
    <t>user157@gmail.com</t>
  </si>
  <si>
    <t>user164@gmail.com</t>
  </si>
  <si>
    <t>user166@gmail.com</t>
  </si>
  <si>
    <t>user173@gmail.com</t>
  </si>
  <si>
    <t>user187@gmail.com</t>
  </si>
  <si>
    <t>user189@gmail.com</t>
  </si>
  <si>
    <t>user191@gmail.com</t>
  </si>
  <si>
    <t>user192@gmail.com</t>
  </si>
  <si>
    <t>user201@gmail.com</t>
  </si>
  <si>
    <t>user202@gmail.com</t>
  </si>
  <si>
    <t>user214@gmail.com</t>
  </si>
  <si>
    <t>user215@gmail.com</t>
  </si>
  <si>
    <t>user219@gmail.com</t>
  </si>
  <si>
    <t>user220@gmail.com</t>
  </si>
  <si>
    <t>user227@gmail.com</t>
  </si>
  <si>
    <t>user228@gmail.com</t>
  </si>
  <si>
    <t>user233@gmail.com</t>
  </si>
  <si>
    <t>user235@gmail.com</t>
  </si>
  <si>
    <t>user237@gmail.com</t>
  </si>
  <si>
    <t>user247@gmail.com</t>
  </si>
  <si>
    <t>user46@outlook.com</t>
  </si>
  <si>
    <t>user50@outlook.com</t>
  </si>
  <si>
    <t>user55@outlook.com</t>
  </si>
  <si>
    <t>user56@outlook.com</t>
  </si>
  <si>
    <t>user58@outlook.com</t>
  </si>
  <si>
    <t>user73@outlook.com</t>
  </si>
  <si>
    <t>user75@outlook.com</t>
  </si>
  <si>
    <t>user76@outlook.com</t>
  </si>
  <si>
    <t>user78@outlook.com</t>
  </si>
  <si>
    <t>user82@outlook.com</t>
  </si>
  <si>
    <t>user97@outlook.com</t>
  </si>
  <si>
    <t>user99@outlook.com</t>
  </si>
  <si>
    <t>user105@outlook.com</t>
  </si>
  <si>
    <t>user106@outlook.com</t>
  </si>
  <si>
    <t>user111@outlook.com</t>
  </si>
  <si>
    <t>user112@outlook.com</t>
  </si>
  <si>
    <t>user114@outlook.com</t>
  </si>
  <si>
    <t>user125@outlook.com</t>
  </si>
  <si>
    <t>user126@outlook.com</t>
  </si>
  <si>
    <t>user127@outlook.com</t>
  </si>
  <si>
    <t>user128@outlook.com</t>
  </si>
  <si>
    <t>user129@outlook.com</t>
  </si>
  <si>
    <t>user135@outlook.com</t>
  </si>
  <si>
    <t>user137@outlook.com</t>
  </si>
  <si>
    <t>user139@outlook.com</t>
  </si>
  <si>
    <t>user141@outlook.com</t>
  </si>
  <si>
    <t>user145@outlook.com</t>
  </si>
  <si>
    <t>user146@outlook.com</t>
  </si>
  <si>
    <t>user150@outlook.com</t>
  </si>
  <si>
    <t>user152@outlook.com</t>
  </si>
  <si>
    <t>user154@outlook.com</t>
  </si>
  <si>
    <t>user160@outlook.com</t>
  </si>
  <si>
    <t>user161@outlook.com</t>
  </si>
  <si>
    <t>user170@outlook.com</t>
  </si>
  <si>
    <t>user182@outlook.com</t>
  </si>
  <si>
    <t>user184@outlook.com</t>
  </si>
  <si>
    <t>user186@outlook.com</t>
  </si>
  <si>
    <t>user194@outlook.com</t>
  </si>
  <si>
    <t>user199@outlook.com</t>
  </si>
  <si>
    <t>user204@outlook.com</t>
  </si>
  <si>
    <t>user205@outlook.com</t>
  </si>
  <si>
    <t>user206@outlook.com</t>
  </si>
  <si>
    <t>user207@outlook.com</t>
  </si>
  <si>
    <t>user216@outlook.com</t>
  </si>
  <si>
    <t>user217@outlook.com</t>
  </si>
  <si>
    <t>user236@outlook.com</t>
  </si>
  <si>
    <t>user241@outlook.com</t>
  </si>
  <si>
    <t>user242@outlook.com</t>
  </si>
  <si>
    <t>user244@outlook.com</t>
  </si>
  <si>
    <t>user@2@yahoo.com</t>
  </si>
  <si>
    <t>user48@yahoo.com</t>
  </si>
  <si>
    <t>user59@yahoo.com</t>
  </si>
  <si>
    <t>user60@yahoo.com</t>
  </si>
  <si>
    <t>user68@yahoo.com</t>
  </si>
  <si>
    <t>user70@yahoo.com</t>
  </si>
  <si>
    <t>user71@yahoo.com</t>
  </si>
  <si>
    <t>user74@yahoo.com</t>
  </si>
  <si>
    <t>user85@yahoo.com</t>
  </si>
  <si>
    <t>user90@yahoo.com</t>
  </si>
  <si>
    <t>user94@yahoo.com</t>
  </si>
  <si>
    <t>user98@yahoo.com</t>
  </si>
  <si>
    <t>user104@yahoo.com</t>
  </si>
  <si>
    <t>user108@yahoo.com</t>
  </si>
  <si>
    <t>user113@yahoo.com</t>
  </si>
  <si>
    <t>user115@yahoo.com</t>
  </si>
  <si>
    <t>user119@yahoo.com</t>
  </si>
  <si>
    <t>user123@yahoo.com</t>
  </si>
  <si>
    <t>user130@yahoo.com</t>
  </si>
  <si>
    <t>user132@yahoo.com</t>
  </si>
  <si>
    <t>user133@yahoo.com</t>
  </si>
  <si>
    <t>user136@yahoo.com</t>
  </si>
  <si>
    <t>user140@yahoo.com</t>
  </si>
  <si>
    <t>user147@yahoo.com</t>
  </si>
  <si>
    <t>user149@yahoo.com</t>
  </si>
  <si>
    <t>user163@yahoo.com</t>
  </si>
  <si>
    <t>user169@yahoo.com</t>
  </si>
  <si>
    <t>user171@yahoo.com</t>
  </si>
  <si>
    <t>user174@yahoo.com</t>
  </si>
  <si>
    <t>user180@yahoo.com</t>
  </si>
  <si>
    <t>user188@yahoo.com</t>
  </si>
  <si>
    <t>user193@yahoo.com</t>
  </si>
  <si>
    <t>user196@yahoo.com</t>
  </si>
  <si>
    <t>user200@yahoo.com</t>
  </si>
  <si>
    <t>user203@yahoo.com</t>
  </si>
  <si>
    <t>user209@yahoo.com</t>
  </si>
  <si>
    <t>user211@yahoo.com</t>
  </si>
  <si>
    <t>user213@yahoo.com</t>
  </si>
  <si>
    <t>user221@yahoo.com</t>
  </si>
  <si>
    <t>user229@yahoo.com</t>
  </si>
  <si>
    <t>user232@yahoo.com</t>
  </si>
  <si>
    <t>user234@yahoo.com</t>
  </si>
  <si>
    <t>user238@yahoo.com</t>
  </si>
  <si>
    <t>user239@yahoo.com</t>
  </si>
  <si>
    <t>user245@yahoo.com</t>
  </si>
  <si>
    <t>user249@yahoo.com</t>
  </si>
  <si>
    <t>One-Time</t>
  </si>
  <si>
    <t>Bi-Monthly</t>
  </si>
  <si>
    <t>Deactivated</t>
  </si>
  <si>
    <t>None</t>
  </si>
  <si>
    <t/>
  </si>
  <si>
    <t>Satisfied</t>
  </si>
  <si>
    <t>Ok</t>
  </si>
  <si>
    <t>Good</t>
  </si>
  <si>
    <t>Bad</t>
  </si>
  <si>
    <t>Very Good</t>
  </si>
  <si>
    <t>Membership_Length_Days</t>
  </si>
  <si>
    <t>Is_Active</t>
  </si>
  <si>
    <t>Age_Group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</si>
</sst>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0" fillId="0" borderId="0" xfId="0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Font="1"/>
    <xf numFmtId="0" fontId="0" fillId="0" borderId="0" xfId="1" applyFont="1"/>
    <xf numFmtId="168" fontId="1" fillId="0" borderId="1" xfId="0" applyNumberFormat="1" applyFont="1" applyBorder="1" applyAlignment="1">
      <alignment horizontal="center" vertical="top"/>
    </xf>
    <xf numFmtId="168" fontId="0" fillId="0" borderId="0" xfId="0" applyNumberFormat="1"/>
    <xf numFmtId="0" fontId="0" fillId="0" borderId="0" xfId="0" applyNumberFormat="1"/>
    <xf numFmtId="0" fontId="0" fillId="0" borderId="0" xfId="0" applyNumberFormat="1" applyAlignment="1">
      <alignment horizontal="right" vertical="center"/>
    </xf>
    <xf numFmtId="0" fontId="2" fillId="0" borderId="1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14">
    <dxf>
      <numFmt numFmtId="0" formatCode="General"/>
      <alignment horizontal="right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168" formatCode="yyyy\-mm\-dd"/>
    </dxf>
    <dxf>
      <numFmt numFmtId="168" formatCode="yyyy\-mm\-dd"/>
    </dxf>
    <dxf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</dxf>
    <dxf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DA0FE4-E6F2-4A23-96FA-30A14F776C4E}" name="Table1" displayName="Table1" ref="A1:L266" totalsRowShown="0" headerRowDxfId="13" headerRowBorderDxfId="12" tableBorderDxfId="11">
  <autoFilter ref="A1:L266" xr:uid="{25DA0FE4-E6F2-4A23-96FA-30A14F776C4E}"/>
  <tableColumns count="12">
    <tableColumn id="1" xr3:uid="{B35EF197-0AB7-4F60-810D-BD404351E96C}" name=" "/>
    <tableColumn id="2" xr3:uid="{E9623C21-647A-4085-AB28-7889BCE01F17}" name="Full_Name"/>
    <tableColumn id="3" xr3:uid="{D68CB569-C022-4180-AEAD-E23541E1198A}" name="Age"/>
    <tableColumn id="4" xr3:uid="{F468F4B1-00E1-4C9D-BF89-511A6EEC312F}" name="Gender"/>
    <tableColumn id="5" xr3:uid="{4314288D-4C25-41D0-9D2E-88A94FF3AF4E}" name="City"/>
    <tableColumn id="6" xr3:uid="{14AF08E4-65A1-4321-98D7-13B2A6CE8FBD}" name="Email_Address"/>
    <tableColumn id="7" xr3:uid="{AEE5410F-9531-4AF6-81DE-6FFF0E3A8928}" name="Satisfaction_Rating"/>
    <tableColumn id="8" xr3:uid="{346970FC-C46F-40BB-AF2E-EA19A8616AD9}" name="Purchase_Frequency"/>
    <tableColumn id="9" xr3:uid="{A4817A29-2BF0-49D4-A1F2-8428CEC6E35E}" name="Join_Date"/>
    <tableColumn id="10" xr3:uid="{F4F76BBA-3724-4560-AA7B-E055E5FDD5FA}" name="Last_Purchase_Date"/>
    <tableColumn id="11" xr3:uid="{51056CCB-838F-4D0D-BF06-BD8EFE3BA8C0}" name="Account_Status"/>
    <tableColumn id="12" xr3:uid="{372F46AA-C51B-446E-A456-A96933D9E876}" name="Remarks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B1A6C14-99E4-4F32-9939-83998B9EEA3E}" name="Table13" displayName="Table13" ref="A1:O266" totalsRowShown="0" headerRowDxfId="10" headerRowBorderDxfId="8" tableBorderDxfId="9">
  <autoFilter ref="A1:O266" xr:uid="{AB1A6C14-99E4-4F32-9939-83998B9EEA3E}"/>
  <tableColumns count="15">
    <tableColumn id="1" xr3:uid="{E3C66A30-F08F-4006-B3AA-670EBEB0ED5C}" name=" "/>
    <tableColumn id="2" xr3:uid="{1B658664-8851-40AC-96D1-C507C90199A9}" name="Full_Name"/>
    <tableColumn id="3" xr3:uid="{85C12B9A-A4B2-4C07-B7E1-0517DC61951E}" name="Age" dataDxfId="7"/>
    <tableColumn id="4" xr3:uid="{27D576C5-8EB7-4EBE-9481-C72BCC2A2723}" name="Gender"/>
    <tableColumn id="5" xr3:uid="{2EC228D4-E9D9-44BE-A58B-6998CD6BBBB9}" name="City"/>
    <tableColumn id="6" xr3:uid="{63D9E00B-B72D-4C96-B4F6-6D390D521D44}" name="Email_Address" dataDxfId="6"/>
    <tableColumn id="7" xr3:uid="{EABA951B-9975-4ABF-A82F-68E328756E99}" name="Satisfaction_Rating" dataDxfId="5"/>
    <tableColumn id="8" xr3:uid="{73727B65-DDDB-4C98-8B8B-7FA90B0217EB}" name="Purchase_Frequency"/>
    <tableColumn id="9" xr3:uid="{AF4D1668-BF7F-4B7F-9656-504F0E9FB5AB}" name="Join_Date" dataDxfId="4"/>
    <tableColumn id="10" xr3:uid="{9A992326-8103-48AB-A210-5A58E277B2A4}" name="Last_Purchase_Date" dataDxfId="3"/>
    <tableColumn id="11" xr3:uid="{FBC9E6C5-213A-4E0B-8F6F-383091A983F8}" name="Account_Status"/>
    <tableColumn id="12" xr3:uid="{877773B1-68C9-4B85-9635-5BBDE2F6191F}" name="Remarks"/>
    <tableColumn id="19" xr3:uid="{956AF310-35F4-4EBD-B362-5EB75CC9F1EA}" name="Membership_Length_Days" dataDxfId="2">
      <calculatedColumnFormula>J2-I2</calculatedColumnFormula>
    </tableColumn>
    <tableColumn id="20" xr3:uid="{C0A284D6-7E51-454D-ACE1-36B3E1042E42}" name="Is_Active" dataDxfId="1">
      <calculatedColumnFormula>IF(K2="Active", 1, 0)</calculatedColumnFormula>
    </tableColumn>
    <tableColumn id="21" xr3:uid="{AECF5B54-8537-430D-9C78-1AFBAF5D4B62}" name="Age_Group" dataDxfId="0">
      <calculatedColumnFormula>IF(C2&lt;=25, "18-25", IF(C2&lt;=35, "26-35", IF(C2&lt;=50, "36-50", "51+")))</calculatedColumnFormula>
    </tableColumn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user15@yahoo.com" TargetMode="External"/><Relationship Id="rId13" Type="http://schemas.openxmlformats.org/officeDocument/2006/relationships/hyperlink" Target="mailto:user22@yahoo.com" TargetMode="External"/><Relationship Id="rId18" Type="http://schemas.openxmlformats.org/officeDocument/2006/relationships/hyperlink" Target="mailto:user28@outlook.com" TargetMode="External"/><Relationship Id="rId26" Type="http://schemas.openxmlformats.org/officeDocument/2006/relationships/hyperlink" Target="mailto:user39@yahoo.com" TargetMode="External"/><Relationship Id="rId3" Type="http://schemas.openxmlformats.org/officeDocument/2006/relationships/hyperlink" Target="mailto:user5@yahoo.com" TargetMode="External"/><Relationship Id="rId21" Type="http://schemas.openxmlformats.org/officeDocument/2006/relationships/hyperlink" Target="mailto:user31@gmail.com" TargetMode="External"/><Relationship Id="rId7" Type="http://schemas.openxmlformats.org/officeDocument/2006/relationships/hyperlink" Target="mailto:user14@outlook.com" TargetMode="External"/><Relationship Id="rId12" Type="http://schemas.openxmlformats.org/officeDocument/2006/relationships/hyperlink" Target="mailto:user20@outlook.com" TargetMode="External"/><Relationship Id="rId17" Type="http://schemas.openxmlformats.org/officeDocument/2006/relationships/hyperlink" Target="mailto:user27@outlook.com" TargetMode="External"/><Relationship Id="rId25" Type="http://schemas.openxmlformats.org/officeDocument/2006/relationships/hyperlink" Target="mailto:user38@yahoo.com" TargetMode="External"/><Relationship Id="rId2" Type="http://schemas.openxmlformats.org/officeDocument/2006/relationships/hyperlink" Target="mailto:user4@yahoo.com" TargetMode="External"/><Relationship Id="rId16" Type="http://schemas.openxmlformats.org/officeDocument/2006/relationships/hyperlink" Target="mailto:user25@yahoo.com" TargetMode="External"/><Relationship Id="rId20" Type="http://schemas.openxmlformats.org/officeDocument/2006/relationships/hyperlink" Target="mailto:user30@yahoo.com" TargetMode="External"/><Relationship Id="rId29" Type="http://schemas.openxmlformats.org/officeDocument/2006/relationships/hyperlink" Target="mailto:user42@gmail.com" TargetMode="External"/><Relationship Id="rId1" Type="http://schemas.openxmlformats.org/officeDocument/2006/relationships/hyperlink" Target="mailto:user@2yahoo.com" TargetMode="External"/><Relationship Id="rId6" Type="http://schemas.openxmlformats.org/officeDocument/2006/relationships/hyperlink" Target="mailto:user11@gmail.com" TargetMode="External"/><Relationship Id="rId11" Type="http://schemas.openxmlformats.org/officeDocument/2006/relationships/hyperlink" Target="mailto:user19@gmail.com" TargetMode="External"/><Relationship Id="rId24" Type="http://schemas.openxmlformats.org/officeDocument/2006/relationships/hyperlink" Target="mailto:user36@outlook.com" TargetMode="External"/><Relationship Id="rId5" Type="http://schemas.openxmlformats.org/officeDocument/2006/relationships/hyperlink" Target="mailto:user10@outlook.com" TargetMode="External"/><Relationship Id="rId15" Type="http://schemas.openxmlformats.org/officeDocument/2006/relationships/hyperlink" Target="mailto:user24@gmail.com" TargetMode="External"/><Relationship Id="rId23" Type="http://schemas.openxmlformats.org/officeDocument/2006/relationships/hyperlink" Target="mailto:user35@yahoo.com" TargetMode="External"/><Relationship Id="rId28" Type="http://schemas.openxmlformats.org/officeDocument/2006/relationships/hyperlink" Target="mailto:user41@gmail.com" TargetMode="External"/><Relationship Id="rId10" Type="http://schemas.openxmlformats.org/officeDocument/2006/relationships/hyperlink" Target="mailto:user17@outlook.com" TargetMode="External"/><Relationship Id="rId19" Type="http://schemas.openxmlformats.org/officeDocument/2006/relationships/hyperlink" Target="mailto:user29@gmail.com" TargetMode="External"/><Relationship Id="rId31" Type="http://schemas.openxmlformats.org/officeDocument/2006/relationships/table" Target="../tables/table2.xml"/><Relationship Id="rId4" Type="http://schemas.openxmlformats.org/officeDocument/2006/relationships/hyperlink" Target="mailto:user7@outlook.com" TargetMode="External"/><Relationship Id="rId9" Type="http://schemas.openxmlformats.org/officeDocument/2006/relationships/hyperlink" Target="mailto:user16@outlook.com" TargetMode="External"/><Relationship Id="rId14" Type="http://schemas.openxmlformats.org/officeDocument/2006/relationships/hyperlink" Target="mailto:user23@yahoo.com" TargetMode="External"/><Relationship Id="rId22" Type="http://schemas.openxmlformats.org/officeDocument/2006/relationships/hyperlink" Target="mailto:user32@outlook.com" TargetMode="External"/><Relationship Id="rId27" Type="http://schemas.openxmlformats.org/officeDocument/2006/relationships/hyperlink" Target="mailto:user40@gmail.com" TargetMode="External"/><Relationship Id="rId30" Type="http://schemas.openxmlformats.org/officeDocument/2006/relationships/hyperlink" Target="mailto:user4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6"/>
  <sheetViews>
    <sheetView topLeftCell="A241" workbookViewId="0">
      <selection sqref="A1:L1048576"/>
    </sheetView>
  </sheetViews>
  <sheetFormatPr defaultRowHeight="14.4" x14ac:dyDescent="0.3"/>
  <cols>
    <col min="1" max="1" width="5.88671875" bestFit="1" customWidth="1"/>
    <col min="2" max="2" width="11.77734375" customWidth="1"/>
    <col min="4" max="4" width="9" customWidth="1"/>
    <col min="6" max="6" width="15.109375" customWidth="1"/>
    <col min="7" max="7" width="19" customWidth="1"/>
    <col min="8" max="8" width="20.33203125" customWidth="1"/>
    <col min="9" max="9" width="11.109375" customWidth="1"/>
    <col min="10" max="10" width="19.77734375" customWidth="1"/>
    <col min="11" max="11" width="16.109375" customWidth="1"/>
    <col min="12" max="12" width="10.109375" customWidth="1"/>
  </cols>
  <sheetData>
    <row r="1" spans="1:12" x14ac:dyDescent="0.3">
      <c r="A1" s="2" t="s">
        <v>655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">
      <c r="A2">
        <v>1365</v>
      </c>
      <c r="B2" t="s">
        <v>11</v>
      </c>
      <c r="C2">
        <v>20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</row>
    <row r="3" spans="1:12" x14ac:dyDescent="0.3">
      <c r="A3">
        <v>1382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19</v>
      </c>
      <c r="L3" t="s">
        <v>30</v>
      </c>
    </row>
    <row r="4" spans="1:12" x14ac:dyDescent="0.3">
      <c r="A4">
        <v>1322</v>
      </c>
      <c r="B4" t="s">
        <v>31</v>
      </c>
      <c r="C4">
        <v>25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 t="s">
        <v>40</v>
      </c>
    </row>
    <row r="5" spans="1:12" x14ac:dyDescent="0.3">
      <c r="A5">
        <v>1476</v>
      </c>
      <c r="B5" t="s">
        <v>11</v>
      </c>
      <c r="C5">
        <v>21</v>
      </c>
      <c r="D5" t="s">
        <v>41</v>
      </c>
      <c r="E5" t="s">
        <v>42</v>
      </c>
      <c r="F5" t="s">
        <v>43</v>
      </c>
      <c r="G5" t="s">
        <v>22</v>
      </c>
      <c r="H5" t="s">
        <v>16</v>
      </c>
      <c r="I5" t="s">
        <v>44</v>
      </c>
      <c r="J5" t="s">
        <v>45</v>
      </c>
      <c r="K5" t="s">
        <v>32</v>
      </c>
      <c r="L5" t="s">
        <v>40</v>
      </c>
    </row>
    <row r="6" spans="1:12" x14ac:dyDescent="0.3">
      <c r="A6">
        <v>1098</v>
      </c>
      <c r="B6" t="s">
        <v>46</v>
      </c>
      <c r="C6">
        <v>19</v>
      </c>
      <c r="D6" t="s">
        <v>32</v>
      </c>
      <c r="E6" t="s">
        <v>47</v>
      </c>
      <c r="F6" t="s">
        <v>48</v>
      </c>
      <c r="G6" t="s">
        <v>49</v>
      </c>
      <c r="H6" t="s">
        <v>16</v>
      </c>
      <c r="I6" t="s">
        <v>50</v>
      </c>
      <c r="J6" t="s">
        <v>51</v>
      </c>
      <c r="K6" t="s">
        <v>52</v>
      </c>
      <c r="L6" t="s">
        <v>53</v>
      </c>
    </row>
    <row r="7" spans="1:12" x14ac:dyDescent="0.3">
      <c r="A7">
        <v>1230</v>
      </c>
      <c r="B7" t="s">
        <v>656</v>
      </c>
      <c r="C7">
        <v>21</v>
      </c>
      <c r="D7" t="s">
        <v>54</v>
      </c>
      <c r="E7" t="s">
        <v>42</v>
      </c>
      <c r="F7" t="s">
        <v>55</v>
      </c>
      <c r="G7" t="s">
        <v>56</v>
      </c>
      <c r="H7" t="s">
        <v>16</v>
      </c>
      <c r="I7" t="s">
        <v>57</v>
      </c>
      <c r="J7" t="s">
        <v>58</v>
      </c>
      <c r="K7" t="s">
        <v>59</v>
      </c>
      <c r="L7" t="s">
        <v>60</v>
      </c>
    </row>
    <row r="8" spans="1:12" x14ac:dyDescent="0.3">
      <c r="A8">
        <v>1017</v>
      </c>
      <c r="B8" t="s">
        <v>11</v>
      </c>
      <c r="C8" t="s">
        <v>61</v>
      </c>
      <c r="D8" t="s">
        <v>62</v>
      </c>
      <c r="E8" t="s">
        <v>63</v>
      </c>
      <c r="F8" t="s">
        <v>64</v>
      </c>
      <c r="G8" t="s">
        <v>65</v>
      </c>
      <c r="H8" t="s">
        <v>36</v>
      </c>
      <c r="I8" t="s">
        <v>66</v>
      </c>
      <c r="J8" t="s">
        <v>67</v>
      </c>
      <c r="K8" t="s">
        <v>52</v>
      </c>
      <c r="L8" t="s">
        <v>20</v>
      </c>
    </row>
    <row r="9" spans="1:12" x14ac:dyDescent="0.3">
      <c r="A9">
        <v>1083</v>
      </c>
      <c r="B9" t="s">
        <v>31</v>
      </c>
      <c r="C9">
        <v>21</v>
      </c>
      <c r="D9" t="s">
        <v>68</v>
      </c>
      <c r="E9" t="s">
        <v>47</v>
      </c>
      <c r="F9" t="s">
        <v>69</v>
      </c>
      <c r="G9" t="s">
        <v>70</v>
      </c>
      <c r="H9" t="s">
        <v>36</v>
      </c>
      <c r="I9" t="s">
        <v>71</v>
      </c>
      <c r="J9" t="s">
        <v>72</v>
      </c>
      <c r="K9" t="s">
        <v>32</v>
      </c>
      <c r="L9" t="s">
        <v>30</v>
      </c>
    </row>
    <row r="10" spans="1:12" x14ac:dyDescent="0.3">
      <c r="A10">
        <v>1106</v>
      </c>
      <c r="B10" t="s">
        <v>73</v>
      </c>
      <c r="C10">
        <v>24</v>
      </c>
      <c r="D10" t="s">
        <v>23</v>
      </c>
      <c r="E10" t="s">
        <v>33</v>
      </c>
      <c r="F10" t="s">
        <v>74</v>
      </c>
      <c r="G10" t="s">
        <v>70</v>
      </c>
      <c r="H10" t="s">
        <v>75</v>
      </c>
      <c r="I10" t="s">
        <v>76</v>
      </c>
      <c r="J10" t="s">
        <v>66</v>
      </c>
      <c r="K10" t="s">
        <v>39</v>
      </c>
      <c r="L10" t="s">
        <v>77</v>
      </c>
    </row>
    <row r="11" spans="1:12" x14ac:dyDescent="0.3">
      <c r="A11">
        <v>1123</v>
      </c>
      <c r="B11" t="s">
        <v>78</v>
      </c>
      <c r="C11">
        <v>20</v>
      </c>
      <c r="D11" t="s">
        <v>41</v>
      </c>
      <c r="E11" t="s">
        <v>79</v>
      </c>
      <c r="F11" t="s">
        <v>80</v>
      </c>
      <c r="G11" t="s">
        <v>70</v>
      </c>
      <c r="H11" t="s">
        <v>16</v>
      </c>
      <c r="I11" t="s">
        <v>81</v>
      </c>
      <c r="J11" t="s">
        <v>82</v>
      </c>
      <c r="K11" t="s">
        <v>52</v>
      </c>
      <c r="L11" t="s">
        <v>40</v>
      </c>
    </row>
    <row r="12" spans="1:12" x14ac:dyDescent="0.3">
      <c r="A12">
        <v>1057</v>
      </c>
      <c r="B12" t="s">
        <v>31</v>
      </c>
      <c r="C12">
        <v>21</v>
      </c>
      <c r="D12" t="s">
        <v>62</v>
      </c>
      <c r="E12" t="s">
        <v>83</v>
      </c>
      <c r="F12" t="s">
        <v>84</v>
      </c>
      <c r="G12" t="s">
        <v>85</v>
      </c>
      <c r="H12" t="s">
        <v>75</v>
      </c>
      <c r="I12" t="s">
        <v>86</v>
      </c>
      <c r="J12" t="s">
        <v>87</v>
      </c>
      <c r="K12" t="s">
        <v>52</v>
      </c>
      <c r="L12" t="s">
        <v>20</v>
      </c>
    </row>
    <row r="13" spans="1:12" x14ac:dyDescent="0.3">
      <c r="A13">
        <v>1214</v>
      </c>
      <c r="B13" t="s">
        <v>78</v>
      </c>
      <c r="C13">
        <v>19</v>
      </c>
      <c r="D13" t="s">
        <v>41</v>
      </c>
      <c r="E13" t="s">
        <v>83</v>
      </c>
      <c r="F13" t="s">
        <v>88</v>
      </c>
      <c r="G13" t="s">
        <v>22</v>
      </c>
      <c r="H13" t="s">
        <v>89</v>
      </c>
      <c r="I13" t="s">
        <v>90</v>
      </c>
      <c r="J13" t="s">
        <v>91</v>
      </c>
      <c r="K13" t="s">
        <v>39</v>
      </c>
      <c r="L13" t="s">
        <v>53</v>
      </c>
    </row>
    <row r="14" spans="1:12" x14ac:dyDescent="0.3">
      <c r="A14">
        <v>1225</v>
      </c>
      <c r="B14" t="s">
        <v>31</v>
      </c>
      <c r="C14" t="s">
        <v>61</v>
      </c>
      <c r="D14" t="s">
        <v>12</v>
      </c>
      <c r="E14" t="s">
        <v>24</v>
      </c>
      <c r="F14" t="s">
        <v>92</v>
      </c>
      <c r="G14" t="s">
        <v>65</v>
      </c>
      <c r="H14" t="s">
        <v>36</v>
      </c>
      <c r="I14" t="s">
        <v>93</v>
      </c>
      <c r="J14" t="s">
        <v>94</v>
      </c>
      <c r="K14" t="s">
        <v>95</v>
      </c>
      <c r="L14" t="s">
        <v>20</v>
      </c>
    </row>
    <row r="15" spans="1:12" x14ac:dyDescent="0.3">
      <c r="A15">
        <v>1096</v>
      </c>
      <c r="B15" t="s">
        <v>46</v>
      </c>
      <c r="C15" t="s">
        <v>96</v>
      </c>
      <c r="D15" t="s">
        <v>41</v>
      </c>
      <c r="E15" t="s">
        <v>24</v>
      </c>
      <c r="F15" t="s">
        <v>97</v>
      </c>
      <c r="G15" t="s">
        <v>65</v>
      </c>
      <c r="H15" t="s">
        <v>89</v>
      </c>
      <c r="I15" t="s">
        <v>98</v>
      </c>
      <c r="J15" t="s">
        <v>99</v>
      </c>
      <c r="K15" t="s">
        <v>95</v>
      </c>
      <c r="L15" t="s">
        <v>100</v>
      </c>
    </row>
    <row r="16" spans="1:12" x14ac:dyDescent="0.3">
      <c r="A16">
        <v>1113</v>
      </c>
      <c r="B16" t="s">
        <v>46</v>
      </c>
      <c r="C16">
        <v>18</v>
      </c>
      <c r="D16" t="s">
        <v>101</v>
      </c>
      <c r="E16" t="s">
        <v>42</v>
      </c>
      <c r="F16" t="s">
        <v>102</v>
      </c>
      <c r="G16" t="s">
        <v>49</v>
      </c>
      <c r="H16" t="s">
        <v>103</v>
      </c>
      <c r="I16" t="s">
        <v>104</v>
      </c>
      <c r="J16" t="s">
        <v>105</v>
      </c>
      <c r="K16" t="s">
        <v>32</v>
      </c>
      <c r="L16" t="s">
        <v>60</v>
      </c>
    </row>
    <row r="17" spans="1:12" x14ac:dyDescent="0.3">
      <c r="A17">
        <v>1126</v>
      </c>
      <c r="B17" t="s">
        <v>106</v>
      </c>
      <c r="C17">
        <v>20</v>
      </c>
      <c r="D17" t="s">
        <v>107</v>
      </c>
      <c r="E17" t="s">
        <v>33</v>
      </c>
      <c r="F17" t="s">
        <v>108</v>
      </c>
      <c r="G17" t="s">
        <v>26</v>
      </c>
      <c r="H17" t="s">
        <v>109</v>
      </c>
      <c r="I17" t="s">
        <v>110</v>
      </c>
      <c r="J17" t="s">
        <v>111</v>
      </c>
      <c r="K17" t="s">
        <v>32</v>
      </c>
      <c r="L17" t="s">
        <v>53</v>
      </c>
    </row>
    <row r="18" spans="1:12" x14ac:dyDescent="0.3">
      <c r="A18">
        <v>1047</v>
      </c>
      <c r="B18" t="s">
        <v>31</v>
      </c>
      <c r="C18">
        <v>21</v>
      </c>
      <c r="D18" t="s">
        <v>62</v>
      </c>
      <c r="E18" t="s">
        <v>79</v>
      </c>
      <c r="F18" t="s">
        <v>112</v>
      </c>
      <c r="G18" t="s">
        <v>65</v>
      </c>
      <c r="H18" t="s">
        <v>16</v>
      </c>
      <c r="I18" t="s">
        <v>113</v>
      </c>
      <c r="J18" t="s">
        <v>114</v>
      </c>
      <c r="K18" t="s">
        <v>39</v>
      </c>
      <c r="L18" t="s">
        <v>115</v>
      </c>
    </row>
    <row r="19" spans="1:12" x14ac:dyDescent="0.3">
      <c r="A19">
        <v>1073</v>
      </c>
      <c r="B19" t="s">
        <v>116</v>
      </c>
      <c r="C19">
        <v>25</v>
      </c>
      <c r="D19" t="s">
        <v>62</v>
      </c>
      <c r="E19" t="s">
        <v>83</v>
      </c>
      <c r="F19" t="s">
        <v>117</v>
      </c>
      <c r="G19" t="s">
        <v>85</v>
      </c>
      <c r="H19" t="s">
        <v>75</v>
      </c>
      <c r="I19" t="s">
        <v>17</v>
      </c>
      <c r="J19" t="s">
        <v>118</v>
      </c>
      <c r="K19" t="s">
        <v>19</v>
      </c>
      <c r="L19" t="s">
        <v>100</v>
      </c>
    </row>
    <row r="20" spans="1:12" x14ac:dyDescent="0.3">
      <c r="A20">
        <v>1032</v>
      </c>
      <c r="B20" t="s">
        <v>119</v>
      </c>
      <c r="C20" t="s">
        <v>22</v>
      </c>
      <c r="D20" t="s">
        <v>68</v>
      </c>
      <c r="E20" t="s">
        <v>120</v>
      </c>
      <c r="F20" t="s">
        <v>121</v>
      </c>
      <c r="G20" t="s">
        <v>56</v>
      </c>
      <c r="H20" t="s">
        <v>109</v>
      </c>
      <c r="I20" t="s">
        <v>122</v>
      </c>
      <c r="J20" t="s">
        <v>123</v>
      </c>
      <c r="K20" t="s">
        <v>52</v>
      </c>
      <c r="L20" t="s">
        <v>30</v>
      </c>
    </row>
    <row r="21" spans="1:12" x14ac:dyDescent="0.3">
      <c r="A21">
        <v>1430</v>
      </c>
      <c r="B21" t="s">
        <v>21</v>
      </c>
      <c r="C21" t="s">
        <v>61</v>
      </c>
      <c r="D21" t="s">
        <v>12</v>
      </c>
      <c r="E21" t="s">
        <v>83</v>
      </c>
      <c r="F21" t="s">
        <v>124</v>
      </c>
      <c r="G21" t="s">
        <v>65</v>
      </c>
      <c r="H21" t="s">
        <v>75</v>
      </c>
      <c r="I21" t="s">
        <v>125</v>
      </c>
      <c r="J21" t="s">
        <v>126</v>
      </c>
      <c r="K21" t="s">
        <v>52</v>
      </c>
      <c r="L21" t="s">
        <v>115</v>
      </c>
    </row>
    <row r="22" spans="1:12" x14ac:dyDescent="0.3">
      <c r="A22">
        <v>1224</v>
      </c>
      <c r="B22" t="s">
        <v>73</v>
      </c>
      <c r="C22" t="s">
        <v>127</v>
      </c>
      <c r="D22" t="s">
        <v>12</v>
      </c>
      <c r="E22" t="s">
        <v>47</v>
      </c>
      <c r="F22" t="s">
        <v>128</v>
      </c>
      <c r="G22" t="s">
        <v>85</v>
      </c>
      <c r="H22" t="s">
        <v>129</v>
      </c>
      <c r="I22" t="s">
        <v>130</v>
      </c>
      <c r="J22" t="s">
        <v>131</v>
      </c>
      <c r="K22" t="s">
        <v>95</v>
      </c>
      <c r="L22" t="s">
        <v>53</v>
      </c>
    </row>
    <row r="23" spans="1:12" x14ac:dyDescent="0.3">
      <c r="A23">
        <v>1111</v>
      </c>
      <c r="B23" t="s">
        <v>73</v>
      </c>
      <c r="C23" t="s">
        <v>22</v>
      </c>
      <c r="D23" t="s">
        <v>101</v>
      </c>
      <c r="E23" t="s">
        <v>120</v>
      </c>
      <c r="F23" t="s">
        <v>132</v>
      </c>
      <c r="G23" t="s">
        <v>35</v>
      </c>
      <c r="H23" t="s">
        <v>16</v>
      </c>
      <c r="I23" t="s">
        <v>133</v>
      </c>
      <c r="J23" t="s">
        <v>134</v>
      </c>
      <c r="K23" t="s">
        <v>19</v>
      </c>
      <c r="L23" t="s">
        <v>40</v>
      </c>
    </row>
    <row r="24" spans="1:12" x14ac:dyDescent="0.3">
      <c r="A24">
        <v>1409</v>
      </c>
      <c r="B24" t="s">
        <v>135</v>
      </c>
      <c r="C24">
        <v>20</v>
      </c>
      <c r="D24" t="s">
        <v>101</v>
      </c>
      <c r="E24" t="s">
        <v>83</v>
      </c>
      <c r="F24" t="s">
        <v>136</v>
      </c>
      <c r="G24" t="s">
        <v>70</v>
      </c>
      <c r="H24" t="s">
        <v>103</v>
      </c>
      <c r="I24" t="s">
        <v>137</v>
      </c>
      <c r="J24" t="s">
        <v>138</v>
      </c>
      <c r="K24" t="s">
        <v>19</v>
      </c>
      <c r="L24" t="s">
        <v>60</v>
      </c>
    </row>
    <row r="25" spans="1:12" x14ac:dyDescent="0.3">
      <c r="A25">
        <v>1339</v>
      </c>
      <c r="B25" t="s">
        <v>135</v>
      </c>
      <c r="C25">
        <v>25</v>
      </c>
      <c r="D25" t="s">
        <v>107</v>
      </c>
      <c r="E25" t="s">
        <v>120</v>
      </c>
      <c r="F25" t="s">
        <v>139</v>
      </c>
      <c r="G25" t="s">
        <v>140</v>
      </c>
      <c r="H25" t="s">
        <v>141</v>
      </c>
      <c r="I25" t="s">
        <v>44</v>
      </c>
      <c r="J25" t="s">
        <v>142</v>
      </c>
      <c r="K25" t="s">
        <v>95</v>
      </c>
      <c r="L25" t="s">
        <v>100</v>
      </c>
    </row>
    <row r="26" spans="1:12" x14ac:dyDescent="0.3">
      <c r="A26">
        <v>1334</v>
      </c>
      <c r="B26" t="s">
        <v>106</v>
      </c>
      <c r="C26" t="s">
        <v>61</v>
      </c>
      <c r="D26" t="s">
        <v>68</v>
      </c>
      <c r="E26" t="s">
        <v>13</v>
      </c>
      <c r="F26" t="s">
        <v>143</v>
      </c>
      <c r="G26" t="s">
        <v>15</v>
      </c>
      <c r="H26" t="s">
        <v>27</v>
      </c>
      <c r="I26" t="s">
        <v>138</v>
      </c>
      <c r="J26" t="s">
        <v>144</v>
      </c>
      <c r="K26" t="s">
        <v>95</v>
      </c>
      <c r="L26" t="s">
        <v>40</v>
      </c>
    </row>
    <row r="27" spans="1:12" x14ac:dyDescent="0.3">
      <c r="A27">
        <v>1253</v>
      </c>
      <c r="B27" t="s">
        <v>119</v>
      </c>
      <c r="C27">
        <v>25</v>
      </c>
      <c r="D27" t="s">
        <v>23</v>
      </c>
      <c r="E27" t="s">
        <v>33</v>
      </c>
      <c r="F27" t="s">
        <v>145</v>
      </c>
      <c r="G27" t="s">
        <v>35</v>
      </c>
      <c r="H27" t="s">
        <v>141</v>
      </c>
      <c r="I27" t="s">
        <v>146</v>
      </c>
      <c r="J27" t="s">
        <v>147</v>
      </c>
      <c r="K27" t="s">
        <v>52</v>
      </c>
      <c r="L27" t="s">
        <v>20</v>
      </c>
    </row>
    <row r="28" spans="1:12" x14ac:dyDescent="0.3">
      <c r="A28">
        <v>1420</v>
      </c>
      <c r="B28" t="s">
        <v>21</v>
      </c>
      <c r="C28">
        <v>19</v>
      </c>
      <c r="D28" t="s">
        <v>32</v>
      </c>
      <c r="E28" t="s">
        <v>120</v>
      </c>
      <c r="F28" t="s">
        <v>148</v>
      </c>
      <c r="G28" t="s">
        <v>70</v>
      </c>
      <c r="H28" t="s">
        <v>89</v>
      </c>
      <c r="I28" t="s">
        <v>149</v>
      </c>
      <c r="J28" t="s">
        <v>150</v>
      </c>
      <c r="K28" t="s">
        <v>32</v>
      </c>
      <c r="L28" t="s">
        <v>53</v>
      </c>
    </row>
    <row r="29" spans="1:12" x14ac:dyDescent="0.3">
      <c r="A29">
        <v>1096</v>
      </c>
      <c r="B29" t="s">
        <v>78</v>
      </c>
      <c r="C29" t="s">
        <v>22</v>
      </c>
      <c r="D29" t="s">
        <v>62</v>
      </c>
      <c r="E29" t="s">
        <v>120</v>
      </c>
      <c r="F29" t="s">
        <v>151</v>
      </c>
      <c r="G29" t="s">
        <v>26</v>
      </c>
      <c r="H29" t="s">
        <v>103</v>
      </c>
      <c r="I29" t="s">
        <v>152</v>
      </c>
      <c r="J29" t="s">
        <v>153</v>
      </c>
      <c r="K29" t="s">
        <v>32</v>
      </c>
      <c r="L29" t="s">
        <v>53</v>
      </c>
    </row>
    <row r="30" spans="1:12" x14ac:dyDescent="0.3">
      <c r="A30">
        <v>1208</v>
      </c>
      <c r="B30" t="s">
        <v>154</v>
      </c>
      <c r="C30">
        <v>22</v>
      </c>
      <c r="D30" t="s">
        <v>12</v>
      </c>
      <c r="E30" t="s">
        <v>155</v>
      </c>
      <c r="F30" t="s">
        <v>156</v>
      </c>
      <c r="G30" t="s">
        <v>65</v>
      </c>
      <c r="H30" t="s">
        <v>36</v>
      </c>
      <c r="I30" t="s">
        <v>157</v>
      </c>
      <c r="J30" t="s">
        <v>158</v>
      </c>
      <c r="K30" t="s">
        <v>32</v>
      </c>
      <c r="L30" t="s">
        <v>100</v>
      </c>
    </row>
    <row r="31" spans="1:12" x14ac:dyDescent="0.3">
      <c r="A31">
        <v>1068</v>
      </c>
      <c r="B31" t="s">
        <v>106</v>
      </c>
      <c r="D31" t="s">
        <v>101</v>
      </c>
      <c r="E31" t="s">
        <v>47</v>
      </c>
      <c r="F31" t="s">
        <v>159</v>
      </c>
      <c r="G31" t="s">
        <v>70</v>
      </c>
      <c r="H31" t="s">
        <v>141</v>
      </c>
      <c r="I31" t="s">
        <v>160</v>
      </c>
      <c r="J31" t="s">
        <v>161</v>
      </c>
      <c r="K31" t="s">
        <v>32</v>
      </c>
      <c r="L31" t="s">
        <v>30</v>
      </c>
    </row>
    <row r="32" spans="1:12" x14ac:dyDescent="0.3">
      <c r="A32">
        <v>1305</v>
      </c>
      <c r="B32" t="s">
        <v>162</v>
      </c>
      <c r="C32" t="s">
        <v>22</v>
      </c>
      <c r="D32" t="s">
        <v>23</v>
      </c>
      <c r="E32" t="s">
        <v>33</v>
      </c>
      <c r="F32" t="s">
        <v>163</v>
      </c>
      <c r="G32" t="s">
        <v>56</v>
      </c>
      <c r="H32" t="s">
        <v>16</v>
      </c>
      <c r="I32" t="s">
        <v>164</v>
      </c>
      <c r="J32" t="s">
        <v>165</v>
      </c>
      <c r="K32" t="s">
        <v>32</v>
      </c>
      <c r="L32" t="s">
        <v>77</v>
      </c>
    </row>
    <row r="33" spans="1:12" x14ac:dyDescent="0.3">
      <c r="A33">
        <v>1311</v>
      </c>
      <c r="B33" t="s">
        <v>106</v>
      </c>
      <c r="C33" t="s">
        <v>127</v>
      </c>
      <c r="D33" t="s">
        <v>101</v>
      </c>
      <c r="E33" t="s">
        <v>166</v>
      </c>
      <c r="F33" t="s">
        <v>167</v>
      </c>
      <c r="G33" t="s">
        <v>56</v>
      </c>
      <c r="H33" t="s">
        <v>89</v>
      </c>
      <c r="I33" t="s">
        <v>168</v>
      </c>
      <c r="J33" t="s">
        <v>169</v>
      </c>
      <c r="K33" t="s">
        <v>59</v>
      </c>
      <c r="L33" t="s">
        <v>20</v>
      </c>
    </row>
    <row r="34" spans="1:12" x14ac:dyDescent="0.3">
      <c r="A34">
        <v>1451</v>
      </c>
      <c r="B34" t="s">
        <v>78</v>
      </c>
      <c r="C34">
        <v>25</v>
      </c>
      <c r="D34" t="s">
        <v>68</v>
      </c>
      <c r="E34" t="s">
        <v>33</v>
      </c>
      <c r="F34" t="s">
        <v>170</v>
      </c>
      <c r="G34" t="s">
        <v>15</v>
      </c>
      <c r="H34" t="s">
        <v>27</v>
      </c>
      <c r="I34" t="s">
        <v>171</v>
      </c>
      <c r="J34" t="s">
        <v>172</v>
      </c>
      <c r="K34" t="s">
        <v>39</v>
      </c>
      <c r="L34" t="s">
        <v>77</v>
      </c>
    </row>
    <row r="35" spans="1:12" x14ac:dyDescent="0.3">
      <c r="A35">
        <v>1002</v>
      </c>
      <c r="B35" t="s">
        <v>31</v>
      </c>
      <c r="C35">
        <v>22</v>
      </c>
      <c r="D35" t="s">
        <v>68</v>
      </c>
      <c r="E35" t="s">
        <v>42</v>
      </c>
      <c r="F35" t="s">
        <v>173</v>
      </c>
      <c r="G35" t="s">
        <v>15</v>
      </c>
      <c r="H35" t="s">
        <v>75</v>
      </c>
      <c r="I35" t="s">
        <v>174</v>
      </c>
      <c r="J35" t="s">
        <v>175</v>
      </c>
      <c r="K35" t="s">
        <v>32</v>
      </c>
      <c r="L35" t="s">
        <v>77</v>
      </c>
    </row>
    <row r="36" spans="1:12" x14ac:dyDescent="0.3">
      <c r="A36">
        <v>1340</v>
      </c>
      <c r="B36" t="s">
        <v>154</v>
      </c>
      <c r="C36">
        <v>25</v>
      </c>
      <c r="D36" t="s">
        <v>12</v>
      </c>
      <c r="E36" t="s">
        <v>13</v>
      </c>
      <c r="F36" t="s">
        <v>176</v>
      </c>
      <c r="G36" t="s">
        <v>85</v>
      </c>
      <c r="H36" t="s">
        <v>109</v>
      </c>
      <c r="I36" t="s">
        <v>177</v>
      </c>
      <c r="J36" t="s">
        <v>178</v>
      </c>
      <c r="K36" t="s">
        <v>52</v>
      </c>
      <c r="L36" t="s">
        <v>115</v>
      </c>
    </row>
    <row r="37" spans="1:12" x14ac:dyDescent="0.3">
      <c r="A37">
        <v>1039</v>
      </c>
      <c r="B37" t="s">
        <v>11</v>
      </c>
      <c r="C37" t="s">
        <v>96</v>
      </c>
      <c r="D37" t="s">
        <v>32</v>
      </c>
      <c r="E37" t="s">
        <v>42</v>
      </c>
      <c r="F37" t="s">
        <v>179</v>
      </c>
      <c r="G37" t="s">
        <v>140</v>
      </c>
      <c r="H37" t="s">
        <v>89</v>
      </c>
      <c r="I37" t="s">
        <v>180</v>
      </c>
      <c r="J37" t="s">
        <v>181</v>
      </c>
      <c r="K37" t="s">
        <v>32</v>
      </c>
      <c r="L37" t="s">
        <v>77</v>
      </c>
    </row>
    <row r="38" spans="1:12" x14ac:dyDescent="0.3">
      <c r="A38">
        <v>1322</v>
      </c>
      <c r="B38" t="s">
        <v>135</v>
      </c>
      <c r="C38" t="s">
        <v>22</v>
      </c>
      <c r="D38" t="s">
        <v>23</v>
      </c>
      <c r="E38" t="s">
        <v>83</v>
      </c>
      <c r="F38" t="s">
        <v>182</v>
      </c>
      <c r="G38" t="s">
        <v>140</v>
      </c>
      <c r="H38" t="s">
        <v>141</v>
      </c>
      <c r="I38" t="s">
        <v>183</v>
      </c>
      <c r="J38" t="s">
        <v>184</v>
      </c>
      <c r="K38" t="s">
        <v>52</v>
      </c>
      <c r="L38" t="s">
        <v>53</v>
      </c>
    </row>
    <row r="39" spans="1:12" x14ac:dyDescent="0.3">
      <c r="A39">
        <v>1084</v>
      </c>
      <c r="B39" t="s">
        <v>46</v>
      </c>
      <c r="C39">
        <v>18</v>
      </c>
      <c r="D39" t="s">
        <v>12</v>
      </c>
      <c r="E39" t="s">
        <v>42</v>
      </c>
      <c r="F39" t="s">
        <v>185</v>
      </c>
      <c r="G39" t="s">
        <v>140</v>
      </c>
      <c r="H39" t="s">
        <v>103</v>
      </c>
      <c r="I39" t="s">
        <v>186</v>
      </c>
      <c r="J39" t="s">
        <v>187</v>
      </c>
      <c r="K39" t="s">
        <v>52</v>
      </c>
      <c r="L39" t="s">
        <v>30</v>
      </c>
    </row>
    <row r="40" spans="1:12" x14ac:dyDescent="0.3">
      <c r="A40">
        <v>1047</v>
      </c>
      <c r="B40" t="s">
        <v>119</v>
      </c>
      <c r="C40">
        <v>20</v>
      </c>
      <c r="D40" t="s">
        <v>41</v>
      </c>
      <c r="E40" t="s">
        <v>42</v>
      </c>
      <c r="F40" t="s">
        <v>188</v>
      </c>
      <c r="G40" t="s">
        <v>140</v>
      </c>
      <c r="H40" t="s">
        <v>75</v>
      </c>
      <c r="I40" t="s">
        <v>189</v>
      </c>
      <c r="J40" t="s">
        <v>190</v>
      </c>
      <c r="K40" t="s">
        <v>59</v>
      </c>
      <c r="L40" t="s">
        <v>100</v>
      </c>
    </row>
    <row r="41" spans="1:12" x14ac:dyDescent="0.3">
      <c r="A41">
        <v>1445</v>
      </c>
      <c r="B41" t="s">
        <v>46</v>
      </c>
      <c r="C41">
        <v>25</v>
      </c>
      <c r="D41" t="s">
        <v>68</v>
      </c>
      <c r="E41" t="s">
        <v>63</v>
      </c>
      <c r="F41" t="s">
        <v>191</v>
      </c>
      <c r="G41" t="s">
        <v>15</v>
      </c>
      <c r="H41" t="s">
        <v>75</v>
      </c>
      <c r="I41" t="s">
        <v>192</v>
      </c>
      <c r="J41" t="s">
        <v>193</v>
      </c>
      <c r="K41" t="s">
        <v>39</v>
      </c>
      <c r="L41" t="s">
        <v>30</v>
      </c>
    </row>
    <row r="42" spans="1:12" x14ac:dyDescent="0.3">
      <c r="A42">
        <v>1176</v>
      </c>
      <c r="B42" t="s">
        <v>73</v>
      </c>
      <c r="C42">
        <v>22</v>
      </c>
      <c r="D42" t="s">
        <v>101</v>
      </c>
      <c r="E42" t="s">
        <v>120</v>
      </c>
      <c r="F42" t="s">
        <v>194</v>
      </c>
      <c r="G42" t="s">
        <v>140</v>
      </c>
      <c r="H42" t="s">
        <v>89</v>
      </c>
      <c r="I42" t="s">
        <v>58</v>
      </c>
      <c r="J42" t="s">
        <v>195</v>
      </c>
      <c r="K42" t="s">
        <v>32</v>
      </c>
      <c r="L42" t="s">
        <v>40</v>
      </c>
    </row>
    <row r="43" spans="1:12" x14ac:dyDescent="0.3">
      <c r="A43">
        <v>1135</v>
      </c>
      <c r="B43" t="s">
        <v>31</v>
      </c>
      <c r="C43">
        <v>21</v>
      </c>
      <c r="D43" t="s">
        <v>41</v>
      </c>
      <c r="E43" t="s">
        <v>63</v>
      </c>
      <c r="F43" t="s">
        <v>196</v>
      </c>
      <c r="G43" t="s">
        <v>49</v>
      </c>
      <c r="H43" t="s">
        <v>27</v>
      </c>
      <c r="I43" t="s">
        <v>197</v>
      </c>
      <c r="J43" t="s">
        <v>198</v>
      </c>
      <c r="K43" t="s">
        <v>32</v>
      </c>
      <c r="L43" t="s">
        <v>77</v>
      </c>
    </row>
    <row r="44" spans="1:12" x14ac:dyDescent="0.3">
      <c r="A44">
        <v>1361</v>
      </c>
      <c r="B44" t="s">
        <v>73</v>
      </c>
      <c r="C44">
        <v>25</v>
      </c>
      <c r="D44" t="s">
        <v>54</v>
      </c>
      <c r="E44" t="s">
        <v>47</v>
      </c>
      <c r="F44" t="s">
        <v>199</v>
      </c>
      <c r="G44" t="s">
        <v>56</v>
      </c>
      <c r="H44" t="s">
        <v>129</v>
      </c>
      <c r="I44" t="s">
        <v>200</v>
      </c>
      <c r="J44" t="s">
        <v>201</v>
      </c>
      <c r="K44" t="s">
        <v>52</v>
      </c>
      <c r="L44" t="s">
        <v>115</v>
      </c>
    </row>
    <row r="45" spans="1:12" x14ac:dyDescent="0.3">
      <c r="A45">
        <v>1099</v>
      </c>
      <c r="B45" t="s">
        <v>154</v>
      </c>
      <c r="C45">
        <v>21</v>
      </c>
      <c r="D45" t="s">
        <v>23</v>
      </c>
      <c r="E45" t="s">
        <v>155</v>
      </c>
      <c r="F45" t="s">
        <v>202</v>
      </c>
      <c r="G45" t="s">
        <v>85</v>
      </c>
      <c r="H45" t="s">
        <v>36</v>
      </c>
      <c r="I45" t="s">
        <v>203</v>
      </c>
      <c r="J45" t="s">
        <v>204</v>
      </c>
      <c r="K45" t="s">
        <v>32</v>
      </c>
      <c r="L45" t="s">
        <v>77</v>
      </c>
    </row>
    <row r="46" spans="1:12" x14ac:dyDescent="0.3">
      <c r="A46">
        <v>1380</v>
      </c>
      <c r="B46" t="s">
        <v>106</v>
      </c>
      <c r="C46">
        <v>25</v>
      </c>
      <c r="D46" t="s">
        <v>54</v>
      </c>
      <c r="E46" t="s">
        <v>155</v>
      </c>
      <c r="F46" t="s">
        <v>205</v>
      </c>
      <c r="G46" t="s">
        <v>56</v>
      </c>
      <c r="H46" t="s">
        <v>75</v>
      </c>
      <c r="I46" t="s">
        <v>206</v>
      </c>
      <c r="J46" t="s">
        <v>207</v>
      </c>
      <c r="K46" t="s">
        <v>52</v>
      </c>
      <c r="L46" t="s">
        <v>40</v>
      </c>
    </row>
    <row r="47" spans="1:12" x14ac:dyDescent="0.3">
      <c r="A47">
        <v>1348</v>
      </c>
      <c r="B47" t="s">
        <v>162</v>
      </c>
      <c r="C47">
        <v>18</v>
      </c>
      <c r="D47" t="s">
        <v>62</v>
      </c>
      <c r="E47" t="s">
        <v>24</v>
      </c>
      <c r="F47" t="s">
        <v>208</v>
      </c>
      <c r="G47" t="s">
        <v>140</v>
      </c>
      <c r="H47" t="s">
        <v>141</v>
      </c>
      <c r="I47" t="s">
        <v>209</v>
      </c>
      <c r="J47" t="s">
        <v>210</v>
      </c>
      <c r="K47" t="s">
        <v>95</v>
      </c>
      <c r="L47" t="s">
        <v>60</v>
      </c>
    </row>
    <row r="48" spans="1:12" x14ac:dyDescent="0.3">
      <c r="A48">
        <v>1180</v>
      </c>
      <c r="B48" t="s">
        <v>73</v>
      </c>
      <c r="C48">
        <v>25</v>
      </c>
      <c r="D48" t="s">
        <v>62</v>
      </c>
      <c r="E48" t="s">
        <v>13</v>
      </c>
      <c r="F48" t="s">
        <v>211</v>
      </c>
      <c r="G48" t="s">
        <v>26</v>
      </c>
      <c r="H48" t="s">
        <v>89</v>
      </c>
      <c r="I48" t="s">
        <v>212</v>
      </c>
      <c r="J48" t="s">
        <v>213</v>
      </c>
      <c r="K48" t="s">
        <v>95</v>
      </c>
      <c r="L48" t="s">
        <v>60</v>
      </c>
    </row>
    <row r="49" spans="1:12" x14ac:dyDescent="0.3">
      <c r="A49">
        <v>1358</v>
      </c>
      <c r="B49" t="s">
        <v>106</v>
      </c>
      <c r="C49">
        <v>24</v>
      </c>
      <c r="D49" t="s">
        <v>23</v>
      </c>
      <c r="E49" t="s">
        <v>79</v>
      </c>
      <c r="F49" t="s">
        <v>214</v>
      </c>
      <c r="G49" t="s">
        <v>85</v>
      </c>
      <c r="H49" t="s">
        <v>16</v>
      </c>
      <c r="I49" t="s">
        <v>93</v>
      </c>
      <c r="J49" t="s">
        <v>215</v>
      </c>
      <c r="K49" t="s">
        <v>52</v>
      </c>
      <c r="L49" t="s">
        <v>100</v>
      </c>
    </row>
    <row r="50" spans="1:12" x14ac:dyDescent="0.3">
      <c r="A50">
        <v>1353</v>
      </c>
      <c r="B50" t="s">
        <v>78</v>
      </c>
      <c r="C50" t="s">
        <v>96</v>
      </c>
      <c r="D50" t="s">
        <v>101</v>
      </c>
      <c r="E50" t="s">
        <v>83</v>
      </c>
      <c r="F50" t="s">
        <v>216</v>
      </c>
      <c r="G50" t="s">
        <v>70</v>
      </c>
      <c r="H50" t="s">
        <v>217</v>
      </c>
      <c r="I50" t="s">
        <v>215</v>
      </c>
      <c r="J50" t="s">
        <v>218</v>
      </c>
      <c r="K50" t="s">
        <v>52</v>
      </c>
      <c r="L50" t="s">
        <v>60</v>
      </c>
    </row>
    <row r="51" spans="1:12" x14ac:dyDescent="0.3">
      <c r="A51">
        <v>1213</v>
      </c>
      <c r="B51" t="s">
        <v>162</v>
      </c>
      <c r="C51">
        <v>24</v>
      </c>
      <c r="D51" t="s">
        <v>23</v>
      </c>
      <c r="E51" t="s">
        <v>63</v>
      </c>
      <c r="F51" t="s">
        <v>219</v>
      </c>
      <c r="G51" t="s">
        <v>22</v>
      </c>
      <c r="H51" t="s">
        <v>36</v>
      </c>
      <c r="I51" t="s">
        <v>220</v>
      </c>
      <c r="J51" t="s">
        <v>221</v>
      </c>
      <c r="K51" t="s">
        <v>19</v>
      </c>
      <c r="L51" t="s">
        <v>77</v>
      </c>
    </row>
    <row r="52" spans="1:12" x14ac:dyDescent="0.3">
      <c r="A52">
        <v>1118</v>
      </c>
      <c r="B52" t="s">
        <v>11</v>
      </c>
      <c r="C52" t="s">
        <v>22</v>
      </c>
      <c r="D52" t="s">
        <v>23</v>
      </c>
      <c r="E52" t="s">
        <v>120</v>
      </c>
      <c r="F52" t="s">
        <v>222</v>
      </c>
      <c r="G52" t="s">
        <v>65</v>
      </c>
      <c r="H52" t="s">
        <v>129</v>
      </c>
      <c r="I52" t="s">
        <v>223</v>
      </c>
      <c r="J52" t="s">
        <v>224</v>
      </c>
      <c r="K52" t="s">
        <v>95</v>
      </c>
      <c r="L52" t="s">
        <v>30</v>
      </c>
    </row>
    <row r="53" spans="1:12" x14ac:dyDescent="0.3">
      <c r="A53">
        <v>1350</v>
      </c>
      <c r="B53" t="s">
        <v>154</v>
      </c>
      <c r="C53" t="s">
        <v>96</v>
      </c>
      <c r="D53" t="s">
        <v>41</v>
      </c>
      <c r="E53" t="s">
        <v>120</v>
      </c>
      <c r="F53" t="s">
        <v>225</v>
      </c>
      <c r="G53" t="s">
        <v>70</v>
      </c>
      <c r="H53" t="s">
        <v>217</v>
      </c>
      <c r="I53" t="s">
        <v>226</v>
      </c>
      <c r="J53" t="s">
        <v>227</v>
      </c>
      <c r="K53" t="s">
        <v>19</v>
      </c>
      <c r="L53" t="s">
        <v>20</v>
      </c>
    </row>
    <row r="54" spans="1:12" x14ac:dyDescent="0.3">
      <c r="A54">
        <v>1411</v>
      </c>
      <c r="B54" t="s">
        <v>11</v>
      </c>
      <c r="C54">
        <v>18</v>
      </c>
      <c r="D54" t="s">
        <v>41</v>
      </c>
      <c r="E54" t="s">
        <v>83</v>
      </c>
      <c r="F54" t="s">
        <v>228</v>
      </c>
      <c r="G54" t="s">
        <v>85</v>
      </c>
      <c r="H54" t="s">
        <v>89</v>
      </c>
      <c r="I54" t="s">
        <v>229</v>
      </c>
      <c r="J54" t="s">
        <v>230</v>
      </c>
      <c r="K54" t="s">
        <v>39</v>
      </c>
      <c r="L54" t="s">
        <v>40</v>
      </c>
    </row>
    <row r="55" spans="1:12" x14ac:dyDescent="0.3">
      <c r="A55">
        <v>1290</v>
      </c>
      <c r="B55" t="s">
        <v>21</v>
      </c>
      <c r="D55" t="s">
        <v>107</v>
      </c>
      <c r="E55" t="s">
        <v>24</v>
      </c>
      <c r="F55" t="s">
        <v>231</v>
      </c>
      <c r="G55" t="s">
        <v>22</v>
      </c>
      <c r="H55" t="s">
        <v>109</v>
      </c>
      <c r="I55" t="s">
        <v>232</v>
      </c>
      <c r="J55" t="s">
        <v>233</v>
      </c>
      <c r="K55" t="s">
        <v>59</v>
      </c>
      <c r="L55" t="s">
        <v>77</v>
      </c>
    </row>
    <row r="56" spans="1:12" x14ac:dyDescent="0.3">
      <c r="A56">
        <v>1481</v>
      </c>
      <c r="B56" t="s">
        <v>106</v>
      </c>
      <c r="C56">
        <v>23</v>
      </c>
      <c r="D56" t="s">
        <v>41</v>
      </c>
      <c r="E56" t="s">
        <v>155</v>
      </c>
      <c r="F56" t="s">
        <v>234</v>
      </c>
      <c r="G56" t="s">
        <v>15</v>
      </c>
      <c r="H56" t="s">
        <v>16</v>
      </c>
      <c r="I56" t="s">
        <v>235</v>
      </c>
      <c r="J56" t="s">
        <v>236</v>
      </c>
      <c r="K56" t="s">
        <v>19</v>
      </c>
      <c r="L56" t="s">
        <v>60</v>
      </c>
    </row>
    <row r="57" spans="1:12" x14ac:dyDescent="0.3">
      <c r="A57">
        <v>1076</v>
      </c>
      <c r="B57" t="s">
        <v>119</v>
      </c>
      <c r="C57">
        <v>21</v>
      </c>
      <c r="D57" t="s">
        <v>68</v>
      </c>
      <c r="E57" t="s">
        <v>63</v>
      </c>
      <c r="F57" t="s">
        <v>237</v>
      </c>
      <c r="G57" t="s">
        <v>35</v>
      </c>
      <c r="H57" t="s">
        <v>89</v>
      </c>
      <c r="I57" t="s">
        <v>238</v>
      </c>
      <c r="J57" t="s">
        <v>239</v>
      </c>
      <c r="K57" t="s">
        <v>39</v>
      </c>
      <c r="L57" t="s">
        <v>60</v>
      </c>
    </row>
    <row r="58" spans="1:12" x14ac:dyDescent="0.3">
      <c r="A58">
        <v>1168</v>
      </c>
      <c r="B58" t="s">
        <v>78</v>
      </c>
      <c r="C58">
        <v>20</v>
      </c>
      <c r="D58" t="s">
        <v>68</v>
      </c>
      <c r="E58" t="s">
        <v>33</v>
      </c>
      <c r="F58" t="s">
        <v>240</v>
      </c>
      <c r="G58" t="s">
        <v>22</v>
      </c>
      <c r="H58" t="s">
        <v>129</v>
      </c>
      <c r="I58" t="s">
        <v>200</v>
      </c>
      <c r="J58" t="s">
        <v>241</v>
      </c>
      <c r="K58" t="s">
        <v>19</v>
      </c>
      <c r="L58" t="s">
        <v>30</v>
      </c>
    </row>
    <row r="59" spans="1:12" x14ac:dyDescent="0.3">
      <c r="A59">
        <v>1387</v>
      </c>
      <c r="B59" t="s">
        <v>46</v>
      </c>
      <c r="C59">
        <v>22</v>
      </c>
      <c r="D59" t="s">
        <v>41</v>
      </c>
      <c r="E59" t="s">
        <v>155</v>
      </c>
      <c r="F59" t="s">
        <v>242</v>
      </c>
      <c r="G59" t="s">
        <v>35</v>
      </c>
      <c r="H59" t="s">
        <v>36</v>
      </c>
      <c r="I59" t="s">
        <v>243</v>
      </c>
      <c r="J59" t="s">
        <v>244</v>
      </c>
      <c r="K59" t="s">
        <v>39</v>
      </c>
      <c r="L59" t="s">
        <v>60</v>
      </c>
    </row>
    <row r="60" spans="1:12" x14ac:dyDescent="0.3">
      <c r="A60">
        <v>1106</v>
      </c>
      <c r="B60" t="s">
        <v>46</v>
      </c>
      <c r="C60">
        <v>21</v>
      </c>
      <c r="D60" t="s">
        <v>23</v>
      </c>
      <c r="E60" t="s">
        <v>63</v>
      </c>
      <c r="F60" t="s">
        <v>245</v>
      </c>
      <c r="G60" t="s">
        <v>65</v>
      </c>
      <c r="H60" t="s">
        <v>103</v>
      </c>
      <c r="I60" t="s">
        <v>246</v>
      </c>
      <c r="J60" t="s">
        <v>247</v>
      </c>
      <c r="K60" t="s">
        <v>19</v>
      </c>
      <c r="L60" t="s">
        <v>53</v>
      </c>
    </row>
    <row r="61" spans="1:12" x14ac:dyDescent="0.3">
      <c r="A61">
        <v>1325</v>
      </c>
      <c r="B61" t="s">
        <v>46</v>
      </c>
      <c r="C61">
        <v>21</v>
      </c>
      <c r="D61" t="s">
        <v>107</v>
      </c>
      <c r="E61" t="s">
        <v>33</v>
      </c>
      <c r="F61" t="s">
        <v>248</v>
      </c>
      <c r="G61" t="s">
        <v>26</v>
      </c>
      <c r="H61" t="s">
        <v>16</v>
      </c>
      <c r="I61" t="s">
        <v>126</v>
      </c>
      <c r="J61" t="s">
        <v>249</v>
      </c>
      <c r="K61" t="s">
        <v>59</v>
      </c>
      <c r="L61" t="s">
        <v>60</v>
      </c>
    </row>
    <row r="62" spans="1:12" x14ac:dyDescent="0.3">
      <c r="A62">
        <v>1064</v>
      </c>
      <c r="B62" t="s">
        <v>162</v>
      </c>
      <c r="C62" t="s">
        <v>61</v>
      </c>
      <c r="D62" t="s">
        <v>68</v>
      </c>
      <c r="E62" t="s">
        <v>47</v>
      </c>
      <c r="F62" t="s">
        <v>250</v>
      </c>
      <c r="G62" t="s">
        <v>70</v>
      </c>
      <c r="H62" t="s">
        <v>75</v>
      </c>
      <c r="I62" t="s">
        <v>251</v>
      </c>
      <c r="J62" t="s">
        <v>252</v>
      </c>
      <c r="K62" t="s">
        <v>39</v>
      </c>
      <c r="L62" t="s">
        <v>53</v>
      </c>
    </row>
    <row r="63" spans="1:12" x14ac:dyDescent="0.3">
      <c r="A63">
        <v>1331</v>
      </c>
      <c r="B63" t="s">
        <v>73</v>
      </c>
      <c r="C63">
        <v>25</v>
      </c>
      <c r="D63" t="s">
        <v>62</v>
      </c>
      <c r="E63" t="s">
        <v>63</v>
      </c>
      <c r="F63" t="s">
        <v>253</v>
      </c>
      <c r="G63" t="s">
        <v>70</v>
      </c>
      <c r="H63" t="s">
        <v>75</v>
      </c>
      <c r="I63" t="s">
        <v>212</v>
      </c>
      <c r="J63" t="s">
        <v>254</v>
      </c>
      <c r="K63" t="s">
        <v>52</v>
      </c>
      <c r="L63" t="s">
        <v>40</v>
      </c>
    </row>
    <row r="64" spans="1:12" x14ac:dyDescent="0.3">
      <c r="A64">
        <v>1418</v>
      </c>
      <c r="B64" t="s">
        <v>116</v>
      </c>
      <c r="C64">
        <v>19</v>
      </c>
      <c r="D64" t="s">
        <v>107</v>
      </c>
      <c r="E64" t="s">
        <v>83</v>
      </c>
      <c r="F64" t="s">
        <v>255</v>
      </c>
      <c r="G64" t="s">
        <v>65</v>
      </c>
      <c r="H64" t="s">
        <v>109</v>
      </c>
      <c r="I64" t="s">
        <v>256</v>
      </c>
      <c r="J64" t="s">
        <v>257</v>
      </c>
      <c r="K64" t="s">
        <v>19</v>
      </c>
      <c r="L64" t="s">
        <v>40</v>
      </c>
    </row>
    <row r="65" spans="1:12" x14ac:dyDescent="0.3">
      <c r="A65">
        <v>1314</v>
      </c>
      <c r="B65" t="s">
        <v>46</v>
      </c>
      <c r="C65" t="s">
        <v>96</v>
      </c>
      <c r="D65" t="s">
        <v>32</v>
      </c>
      <c r="E65" t="s">
        <v>24</v>
      </c>
      <c r="F65" t="s">
        <v>258</v>
      </c>
      <c r="G65" t="s">
        <v>65</v>
      </c>
      <c r="H65" t="s">
        <v>27</v>
      </c>
      <c r="I65" t="s">
        <v>259</v>
      </c>
      <c r="J65" t="s">
        <v>260</v>
      </c>
      <c r="K65" t="s">
        <v>52</v>
      </c>
      <c r="L65" t="s">
        <v>40</v>
      </c>
    </row>
    <row r="66" spans="1:12" x14ac:dyDescent="0.3">
      <c r="A66">
        <v>1394</v>
      </c>
      <c r="B66" t="s">
        <v>162</v>
      </c>
      <c r="C66">
        <v>18</v>
      </c>
      <c r="D66" t="s">
        <v>101</v>
      </c>
      <c r="E66" t="s">
        <v>79</v>
      </c>
      <c r="F66" t="s">
        <v>261</v>
      </c>
      <c r="G66" t="s">
        <v>140</v>
      </c>
      <c r="H66" t="s">
        <v>27</v>
      </c>
      <c r="I66" t="s">
        <v>262</v>
      </c>
      <c r="J66" t="s">
        <v>50</v>
      </c>
      <c r="K66" t="s">
        <v>39</v>
      </c>
      <c r="L66" t="s">
        <v>40</v>
      </c>
    </row>
    <row r="67" spans="1:12" x14ac:dyDescent="0.3">
      <c r="A67">
        <v>1278</v>
      </c>
      <c r="B67" t="s">
        <v>73</v>
      </c>
      <c r="C67">
        <v>19</v>
      </c>
      <c r="D67" t="s">
        <v>107</v>
      </c>
      <c r="E67" t="s">
        <v>33</v>
      </c>
      <c r="F67" t="s">
        <v>263</v>
      </c>
      <c r="G67" t="s">
        <v>65</v>
      </c>
      <c r="H67" t="s">
        <v>141</v>
      </c>
      <c r="I67" t="s">
        <v>264</v>
      </c>
      <c r="J67" t="s">
        <v>265</v>
      </c>
      <c r="K67" t="s">
        <v>95</v>
      </c>
      <c r="L67" t="s">
        <v>53</v>
      </c>
    </row>
    <row r="68" spans="1:12" x14ac:dyDescent="0.3">
      <c r="A68">
        <v>1205</v>
      </c>
      <c r="B68" t="s">
        <v>154</v>
      </c>
      <c r="C68">
        <v>22</v>
      </c>
      <c r="D68" t="s">
        <v>107</v>
      </c>
      <c r="E68" t="s">
        <v>63</v>
      </c>
      <c r="F68" t="s">
        <v>266</v>
      </c>
      <c r="G68" t="s">
        <v>26</v>
      </c>
      <c r="H68" t="s">
        <v>16</v>
      </c>
      <c r="I68" t="s">
        <v>267</v>
      </c>
      <c r="J68" t="s">
        <v>268</v>
      </c>
      <c r="K68" t="s">
        <v>39</v>
      </c>
      <c r="L68" t="s">
        <v>60</v>
      </c>
    </row>
    <row r="69" spans="1:12" x14ac:dyDescent="0.3">
      <c r="A69">
        <v>1146</v>
      </c>
      <c r="B69" t="s">
        <v>116</v>
      </c>
      <c r="C69">
        <v>25</v>
      </c>
      <c r="D69" t="s">
        <v>32</v>
      </c>
      <c r="E69" t="s">
        <v>83</v>
      </c>
      <c r="F69" t="s">
        <v>269</v>
      </c>
      <c r="G69" t="s">
        <v>22</v>
      </c>
      <c r="H69" t="s">
        <v>75</v>
      </c>
      <c r="I69" t="s">
        <v>270</v>
      </c>
      <c r="J69" t="s">
        <v>271</v>
      </c>
      <c r="K69" t="s">
        <v>32</v>
      </c>
      <c r="L69" t="s">
        <v>115</v>
      </c>
    </row>
    <row r="70" spans="1:12" x14ac:dyDescent="0.3">
      <c r="A70">
        <v>1484</v>
      </c>
      <c r="B70" t="s">
        <v>106</v>
      </c>
      <c r="C70">
        <v>20</v>
      </c>
      <c r="D70" t="s">
        <v>41</v>
      </c>
      <c r="E70" t="s">
        <v>47</v>
      </c>
      <c r="F70" t="s">
        <v>272</v>
      </c>
      <c r="G70" t="s">
        <v>26</v>
      </c>
      <c r="H70" t="s">
        <v>16</v>
      </c>
      <c r="I70" t="s">
        <v>273</v>
      </c>
      <c r="J70" t="s">
        <v>81</v>
      </c>
      <c r="K70" t="s">
        <v>95</v>
      </c>
      <c r="L70" t="s">
        <v>115</v>
      </c>
    </row>
    <row r="71" spans="1:12" x14ac:dyDescent="0.3">
      <c r="A71">
        <v>1271</v>
      </c>
      <c r="B71" t="s">
        <v>78</v>
      </c>
      <c r="D71" t="s">
        <v>107</v>
      </c>
      <c r="E71" t="s">
        <v>83</v>
      </c>
      <c r="F71" t="s">
        <v>274</v>
      </c>
      <c r="G71" t="s">
        <v>26</v>
      </c>
      <c r="H71" t="s">
        <v>109</v>
      </c>
      <c r="I71" t="s">
        <v>275</v>
      </c>
      <c r="J71" t="s">
        <v>276</v>
      </c>
      <c r="K71" t="s">
        <v>59</v>
      </c>
      <c r="L71" t="s">
        <v>115</v>
      </c>
    </row>
    <row r="72" spans="1:12" x14ac:dyDescent="0.3">
      <c r="A72">
        <v>1491</v>
      </c>
      <c r="B72" t="s">
        <v>21</v>
      </c>
      <c r="C72" t="s">
        <v>127</v>
      </c>
      <c r="D72" t="s">
        <v>68</v>
      </c>
      <c r="E72" t="s">
        <v>24</v>
      </c>
      <c r="F72" t="s">
        <v>277</v>
      </c>
      <c r="G72" t="s">
        <v>140</v>
      </c>
      <c r="H72" t="s">
        <v>36</v>
      </c>
      <c r="I72" t="s">
        <v>278</v>
      </c>
      <c r="J72" t="s">
        <v>279</v>
      </c>
      <c r="K72" t="s">
        <v>59</v>
      </c>
      <c r="L72" t="s">
        <v>40</v>
      </c>
    </row>
    <row r="73" spans="1:12" x14ac:dyDescent="0.3">
      <c r="A73">
        <v>1411</v>
      </c>
      <c r="B73" t="s">
        <v>78</v>
      </c>
      <c r="C73" t="s">
        <v>127</v>
      </c>
      <c r="D73" t="s">
        <v>12</v>
      </c>
      <c r="E73" t="s">
        <v>24</v>
      </c>
      <c r="F73" t="s">
        <v>280</v>
      </c>
      <c r="G73" t="s">
        <v>22</v>
      </c>
      <c r="H73" t="s">
        <v>129</v>
      </c>
      <c r="I73" t="s">
        <v>281</v>
      </c>
      <c r="J73" t="s">
        <v>282</v>
      </c>
      <c r="K73" t="s">
        <v>52</v>
      </c>
      <c r="L73" t="s">
        <v>60</v>
      </c>
    </row>
    <row r="74" spans="1:12" x14ac:dyDescent="0.3">
      <c r="A74">
        <v>1253</v>
      </c>
      <c r="B74" t="s">
        <v>135</v>
      </c>
      <c r="C74">
        <v>22</v>
      </c>
      <c r="D74" t="s">
        <v>32</v>
      </c>
      <c r="E74" t="s">
        <v>79</v>
      </c>
      <c r="F74" t="s">
        <v>283</v>
      </c>
      <c r="G74" t="s">
        <v>70</v>
      </c>
      <c r="H74" t="s">
        <v>109</v>
      </c>
      <c r="I74" t="s">
        <v>284</v>
      </c>
      <c r="J74" t="s">
        <v>285</v>
      </c>
      <c r="K74" t="s">
        <v>32</v>
      </c>
      <c r="L74" t="s">
        <v>100</v>
      </c>
    </row>
    <row r="75" spans="1:12" x14ac:dyDescent="0.3">
      <c r="A75">
        <v>1492</v>
      </c>
      <c r="B75" t="s">
        <v>11</v>
      </c>
      <c r="C75" t="s">
        <v>96</v>
      </c>
      <c r="D75" t="s">
        <v>54</v>
      </c>
      <c r="E75" t="s">
        <v>13</v>
      </c>
      <c r="F75" t="s">
        <v>286</v>
      </c>
      <c r="G75" t="s">
        <v>65</v>
      </c>
      <c r="H75" t="s">
        <v>89</v>
      </c>
      <c r="I75" t="s">
        <v>287</v>
      </c>
      <c r="J75" t="s">
        <v>284</v>
      </c>
      <c r="K75" t="s">
        <v>19</v>
      </c>
      <c r="L75" t="s">
        <v>20</v>
      </c>
    </row>
    <row r="76" spans="1:12" x14ac:dyDescent="0.3">
      <c r="A76">
        <v>1158</v>
      </c>
      <c r="B76" t="s">
        <v>73</v>
      </c>
      <c r="C76">
        <v>21</v>
      </c>
      <c r="D76" t="s">
        <v>32</v>
      </c>
      <c r="E76" t="s">
        <v>166</v>
      </c>
      <c r="F76" t="s">
        <v>288</v>
      </c>
      <c r="G76" t="s">
        <v>22</v>
      </c>
      <c r="H76" t="s">
        <v>16</v>
      </c>
      <c r="I76" t="s">
        <v>17</v>
      </c>
      <c r="J76" t="s">
        <v>289</v>
      </c>
      <c r="K76" t="s">
        <v>52</v>
      </c>
      <c r="L76" t="s">
        <v>53</v>
      </c>
    </row>
    <row r="77" spans="1:12" x14ac:dyDescent="0.3">
      <c r="A77">
        <v>1180</v>
      </c>
      <c r="B77" t="s">
        <v>21</v>
      </c>
      <c r="C77">
        <v>22</v>
      </c>
      <c r="D77" t="s">
        <v>12</v>
      </c>
      <c r="E77" t="s">
        <v>24</v>
      </c>
      <c r="F77" t="s">
        <v>290</v>
      </c>
      <c r="G77" t="s">
        <v>15</v>
      </c>
      <c r="H77" t="s">
        <v>75</v>
      </c>
      <c r="I77" t="s">
        <v>291</v>
      </c>
      <c r="J77" t="s">
        <v>292</v>
      </c>
      <c r="K77" t="s">
        <v>52</v>
      </c>
      <c r="L77" t="s">
        <v>115</v>
      </c>
    </row>
    <row r="78" spans="1:12" x14ac:dyDescent="0.3">
      <c r="A78">
        <v>1070</v>
      </c>
      <c r="B78" t="s">
        <v>106</v>
      </c>
      <c r="C78" t="s">
        <v>61</v>
      </c>
      <c r="D78" t="s">
        <v>23</v>
      </c>
      <c r="E78" t="s">
        <v>166</v>
      </c>
      <c r="F78" t="s">
        <v>293</v>
      </c>
      <c r="G78" t="s">
        <v>65</v>
      </c>
      <c r="H78" t="s">
        <v>16</v>
      </c>
      <c r="I78" t="s">
        <v>294</v>
      </c>
      <c r="J78" t="s">
        <v>295</v>
      </c>
      <c r="K78" t="s">
        <v>39</v>
      </c>
      <c r="L78" t="s">
        <v>60</v>
      </c>
    </row>
    <row r="79" spans="1:12" x14ac:dyDescent="0.3">
      <c r="A79">
        <v>1365</v>
      </c>
      <c r="B79" t="s">
        <v>78</v>
      </c>
      <c r="C79">
        <v>24</v>
      </c>
      <c r="D79" t="s">
        <v>68</v>
      </c>
      <c r="E79" t="s">
        <v>33</v>
      </c>
      <c r="F79" t="s">
        <v>296</v>
      </c>
      <c r="G79" t="s">
        <v>85</v>
      </c>
      <c r="H79" t="s">
        <v>89</v>
      </c>
      <c r="I79" t="s">
        <v>210</v>
      </c>
      <c r="J79" t="s">
        <v>297</v>
      </c>
      <c r="K79" t="s">
        <v>95</v>
      </c>
      <c r="L79" t="s">
        <v>40</v>
      </c>
    </row>
    <row r="80" spans="1:12" x14ac:dyDescent="0.3">
      <c r="A80">
        <v>1371</v>
      </c>
      <c r="B80" t="s">
        <v>154</v>
      </c>
      <c r="C80">
        <v>20</v>
      </c>
      <c r="D80" t="s">
        <v>62</v>
      </c>
      <c r="E80" t="s">
        <v>63</v>
      </c>
      <c r="F80" t="s">
        <v>298</v>
      </c>
      <c r="G80" t="s">
        <v>35</v>
      </c>
      <c r="H80" t="s">
        <v>75</v>
      </c>
      <c r="I80" t="s">
        <v>299</v>
      </c>
      <c r="J80" t="s">
        <v>300</v>
      </c>
      <c r="K80" t="s">
        <v>39</v>
      </c>
      <c r="L80" t="s">
        <v>115</v>
      </c>
    </row>
    <row r="81" spans="1:12" x14ac:dyDescent="0.3">
      <c r="A81">
        <v>1154</v>
      </c>
      <c r="B81" t="s">
        <v>135</v>
      </c>
      <c r="C81">
        <v>25</v>
      </c>
      <c r="D81" t="s">
        <v>68</v>
      </c>
      <c r="E81" t="s">
        <v>13</v>
      </c>
      <c r="F81" t="s">
        <v>301</v>
      </c>
      <c r="G81" t="s">
        <v>35</v>
      </c>
      <c r="H81" t="s">
        <v>103</v>
      </c>
      <c r="I81" t="s">
        <v>302</v>
      </c>
      <c r="J81" t="s">
        <v>303</v>
      </c>
      <c r="K81" t="s">
        <v>52</v>
      </c>
      <c r="L81" t="s">
        <v>20</v>
      </c>
    </row>
    <row r="82" spans="1:12" x14ac:dyDescent="0.3">
      <c r="A82">
        <v>1208</v>
      </c>
      <c r="B82" t="s">
        <v>46</v>
      </c>
      <c r="C82">
        <v>25</v>
      </c>
      <c r="D82" t="s">
        <v>32</v>
      </c>
      <c r="E82" t="s">
        <v>79</v>
      </c>
      <c r="F82" t="s">
        <v>304</v>
      </c>
      <c r="G82" t="s">
        <v>85</v>
      </c>
      <c r="H82" t="s">
        <v>27</v>
      </c>
      <c r="I82" t="s">
        <v>123</v>
      </c>
      <c r="J82" t="s">
        <v>305</v>
      </c>
      <c r="K82" t="s">
        <v>59</v>
      </c>
      <c r="L82" t="s">
        <v>115</v>
      </c>
    </row>
    <row r="83" spans="1:12" x14ac:dyDescent="0.3">
      <c r="A83">
        <v>1390</v>
      </c>
      <c r="B83" t="s">
        <v>46</v>
      </c>
      <c r="C83">
        <v>25</v>
      </c>
      <c r="D83" t="s">
        <v>23</v>
      </c>
      <c r="E83" t="s">
        <v>79</v>
      </c>
      <c r="F83" t="s">
        <v>306</v>
      </c>
      <c r="G83" t="s">
        <v>56</v>
      </c>
      <c r="H83" t="s">
        <v>103</v>
      </c>
      <c r="I83" t="s">
        <v>307</v>
      </c>
      <c r="J83" t="s">
        <v>308</v>
      </c>
      <c r="K83" t="s">
        <v>39</v>
      </c>
      <c r="L83" t="s">
        <v>60</v>
      </c>
    </row>
    <row r="84" spans="1:12" x14ac:dyDescent="0.3">
      <c r="A84">
        <v>1270</v>
      </c>
      <c r="B84" t="s">
        <v>162</v>
      </c>
      <c r="C84">
        <v>22</v>
      </c>
      <c r="D84" t="s">
        <v>68</v>
      </c>
      <c r="E84" t="s">
        <v>42</v>
      </c>
      <c r="F84" t="s">
        <v>309</v>
      </c>
      <c r="G84" t="s">
        <v>56</v>
      </c>
      <c r="H84" t="s">
        <v>109</v>
      </c>
      <c r="I84" t="s">
        <v>310</v>
      </c>
      <c r="J84" t="s">
        <v>311</v>
      </c>
      <c r="K84" t="s">
        <v>39</v>
      </c>
      <c r="L84" t="s">
        <v>30</v>
      </c>
    </row>
    <row r="85" spans="1:12" x14ac:dyDescent="0.3">
      <c r="A85">
        <v>1255</v>
      </c>
      <c r="B85" t="s">
        <v>73</v>
      </c>
      <c r="C85" t="s">
        <v>22</v>
      </c>
      <c r="D85" t="s">
        <v>23</v>
      </c>
      <c r="E85" t="s">
        <v>33</v>
      </c>
      <c r="F85" t="s">
        <v>312</v>
      </c>
      <c r="G85" t="s">
        <v>49</v>
      </c>
      <c r="H85" t="s">
        <v>89</v>
      </c>
      <c r="I85" t="s">
        <v>313</v>
      </c>
      <c r="J85" t="s">
        <v>314</v>
      </c>
      <c r="K85" t="s">
        <v>19</v>
      </c>
      <c r="L85" t="s">
        <v>53</v>
      </c>
    </row>
    <row r="86" spans="1:12" x14ac:dyDescent="0.3">
      <c r="A86">
        <v>1244</v>
      </c>
      <c r="B86" t="s">
        <v>21</v>
      </c>
      <c r="C86">
        <v>25</v>
      </c>
      <c r="D86" t="s">
        <v>32</v>
      </c>
      <c r="E86" t="s">
        <v>13</v>
      </c>
      <c r="F86" t="s">
        <v>315</v>
      </c>
      <c r="G86" t="s">
        <v>140</v>
      </c>
      <c r="H86" t="s">
        <v>109</v>
      </c>
      <c r="I86" t="s">
        <v>207</v>
      </c>
      <c r="J86" t="s">
        <v>316</v>
      </c>
      <c r="K86" t="s">
        <v>95</v>
      </c>
      <c r="L86" t="s">
        <v>53</v>
      </c>
    </row>
    <row r="87" spans="1:12" x14ac:dyDescent="0.3">
      <c r="A87">
        <v>1359</v>
      </c>
      <c r="B87" t="s">
        <v>106</v>
      </c>
      <c r="C87" t="s">
        <v>96</v>
      </c>
      <c r="D87" t="s">
        <v>23</v>
      </c>
      <c r="E87" t="s">
        <v>120</v>
      </c>
      <c r="F87" t="s">
        <v>317</v>
      </c>
      <c r="G87" t="s">
        <v>70</v>
      </c>
      <c r="H87" t="s">
        <v>36</v>
      </c>
      <c r="I87" t="s">
        <v>318</v>
      </c>
      <c r="J87" t="s">
        <v>319</v>
      </c>
      <c r="K87" t="s">
        <v>19</v>
      </c>
      <c r="L87" t="s">
        <v>40</v>
      </c>
    </row>
    <row r="88" spans="1:12" x14ac:dyDescent="0.3">
      <c r="A88">
        <v>1459</v>
      </c>
      <c r="B88" t="s">
        <v>73</v>
      </c>
      <c r="C88">
        <v>22</v>
      </c>
      <c r="D88" t="s">
        <v>62</v>
      </c>
      <c r="E88" t="s">
        <v>33</v>
      </c>
      <c r="F88" t="s">
        <v>320</v>
      </c>
      <c r="G88" t="s">
        <v>22</v>
      </c>
      <c r="H88" t="s">
        <v>109</v>
      </c>
      <c r="I88" t="s">
        <v>321</v>
      </c>
      <c r="J88" t="s">
        <v>322</v>
      </c>
      <c r="K88" t="s">
        <v>19</v>
      </c>
      <c r="L88" t="s">
        <v>115</v>
      </c>
    </row>
    <row r="89" spans="1:12" x14ac:dyDescent="0.3">
      <c r="A89">
        <v>1438</v>
      </c>
      <c r="B89" t="s">
        <v>73</v>
      </c>
      <c r="C89">
        <v>18</v>
      </c>
      <c r="D89" t="s">
        <v>107</v>
      </c>
      <c r="E89" t="s">
        <v>42</v>
      </c>
      <c r="F89" t="s">
        <v>323</v>
      </c>
      <c r="G89" t="s">
        <v>56</v>
      </c>
      <c r="H89" t="s">
        <v>89</v>
      </c>
      <c r="I89" t="s">
        <v>324</v>
      </c>
      <c r="J89" t="s">
        <v>325</v>
      </c>
      <c r="K89" t="s">
        <v>39</v>
      </c>
      <c r="L89" t="s">
        <v>100</v>
      </c>
    </row>
    <row r="90" spans="1:12" x14ac:dyDescent="0.3">
      <c r="A90">
        <v>1455</v>
      </c>
      <c r="B90" t="s">
        <v>73</v>
      </c>
      <c r="C90">
        <v>25</v>
      </c>
      <c r="D90" t="s">
        <v>54</v>
      </c>
      <c r="E90" t="s">
        <v>155</v>
      </c>
      <c r="F90" t="s">
        <v>326</v>
      </c>
      <c r="G90" t="s">
        <v>85</v>
      </c>
      <c r="H90" t="s">
        <v>36</v>
      </c>
      <c r="I90" t="s">
        <v>327</v>
      </c>
      <c r="J90" t="s">
        <v>328</v>
      </c>
      <c r="K90" t="s">
        <v>19</v>
      </c>
      <c r="L90" t="s">
        <v>40</v>
      </c>
    </row>
    <row r="91" spans="1:12" x14ac:dyDescent="0.3">
      <c r="A91">
        <v>1129</v>
      </c>
      <c r="B91" t="s">
        <v>106</v>
      </c>
      <c r="C91" t="s">
        <v>127</v>
      </c>
      <c r="D91" t="s">
        <v>62</v>
      </c>
      <c r="E91" t="s">
        <v>33</v>
      </c>
      <c r="F91" t="s">
        <v>329</v>
      </c>
      <c r="G91" t="s">
        <v>85</v>
      </c>
      <c r="H91" t="s">
        <v>75</v>
      </c>
      <c r="I91" t="s">
        <v>130</v>
      </c>
      <c r="J91" t="s">
        <v>330</v>
      </c>
      <c r="K91" t="s">
        <v>39</v>
      </c>
      <c r="L91" t="s">
        <v>60</v>
      </c>
    </row>
    <row r="92" spans="1:12" x14ac:dyDescent="0.3">
      <c r="A92">
        <v>1043</v>
      </c>
      <c r="B92" t="s">
        <v>119</v>
      </c>
      <c r="C92" t="s">
        <v>22</v>
      </c>
      <c r="D92" t="s">
        <v>101</v>
      </c>
      <c r="E92" t="s">
        <v>79</v>
      </c>
      <c r="F92" t="s">
        <v>331</v>
      </c>
      <c r="G92" t="s">
        <v>140</v>
      </c>
      <c r="H92" t="s">
        <v>129</v>
      </c>
      <c r="I92" t="s">
        <v>210</v>
      </c>
      <c r="J92" t="s">
        <v>332</v>
      </c>
      <c r="K92" t="s">
        <v>52</v>
      </c>
      <c r="L92" t="s">
        <v>100</v>
      </c>
    </row>
    <row r="93" spans="1:12" x14ac:dyDescent="0.3">
      <c r="A93">
        <v>1186</v>
      </c>
      <c r="B93" t="s">
        <v>119</v>
      </c>
      <c r="C93" t="s">
        <v>22</v>
      </c>
      <c r="D93" t="s">
        <v>68</v>
      </c>
      <c r="E93" t="s">
        <v>166</v>
      </c>
      <c r="F93" t="s">
        <v>333</v>
      </c>
      <c r="G93" t="s">
        <v>35</v>
      </c>
      <c r="H93" t="s">
        <v>75</v>
      </c>
      <c r="I93" t="s">
        <v>334</v>
      </c>
      <c r="J93" t="s">
        <v>335</v>
      </c>
      <c r="K93" t="s">
        <v>19</v>
      </c>
      <c r="L93" t="s">
        <v>77</v>
      </c>
    </row>
    <row r="94" spans="1:12" x14ac:dyDescent="0.3">
      <c r="A94">
        <v>1357</v>
      </c>
      <c r="B94" t="s">
        <v>21</v>
      </c>
      <c r="C94">
        <v>24</v>
      </c>
      <c r="D94" t="s">
        <v>12</v>
      </c>
      <c r="E94" t="s">
        <v>120</v>
      </c>
      <c r="F94" t="s">
        <v>336</v>
      </c>
      <c r="G94" t="s">
        <v>140</v>
      </c>
      <c r="H94" t="s">
        <v>27</v>
      </c>
      <c r="I94" t="s">
        <v>337</v>
      </c>
      <c r="J94" t="s">
        <v>338</v>
      </c>
      <c r="K94" t="s">
        <v>59</v>
      </c>
      <c r="L94" t="s">
        <v>77</v>
      </c>
    </row>
    <row r="95" spans="1:12" x14ac:dyDescent="0.3">
      <c r="A95">
        <v>1183</v>
      </c>
      <c r="B95" t="s">
        <v>162</v>
      </c>
      <c r="C95">
        <v>21</v>
      </c>
      <c r="D95" t="s">
        <v>32</v>
      </c>
      <c r="E95" t="s">
        <v>83</v>
      </c>
      <c r="F95" t="s">
        <v>339</v>
      </c>
      <c r="G95" t="s">
        <v>26</v>
      </c>
      <c r="H95" t="s">
        <v>36</v>
      </c>
      <c r="I95" t="s">
        <v>178</v>
      </c>
      <c r="J95" t="s">
        <v>340</v>
      </c>
      <c r="K95" t="s">
        <v>19</v>
      </c>
      <c r="L95" t="s">
        <v>77</v>
      </c>
    </row>
    <row r="96" spans="1:12" x14ac:dyDescent="0.3">
      <c r="A96">
        <v>1025</v>
      </c>
      <c r="B96" t="s">
        <v>119</v>
      </c>
      <c r="C96">
        <v>22</v>
      </c>
      <c r="D96" t="s">
        <v>12</v>
      </c>
      <c r="E96" t="s">
        <v>166</v>
      </c>
      <c r="F96" t="s">
        <v>341</v>
      </c>
      <c r="G96" t="s">
        <v>22</v>
      </c>
      <c r="H96" t="s">
        <v>217</v>
      </c>
      <c r="I96" t="s">
        <v>342</v>
      </c>
      <c r="J96" t="s">
        <v>343</v>
      </c>
      <c r="K96" t="s">
        <v>39</v>
      </c>
      <c r="L96" t="s">
        <v>20</v>
      </c>
    </row>
    <row r="97" spans="1:12" x14ac:dyDescent="0.3">
      <c r="A97">
        <v>1434</v>
      </c>
      <c r="B97" t="s">
        <v>135</v>
      </c>
      <c r="C97">
        <v>19</v>
      </c>
      <c r="D97" t="s">
        <v>101</v>
      </c>
      <c r="E97" t="s">
        <v>42</v>
      </c>
      <c r="F97" t="s">
        <v>344</v>
      </c>
      <c r="G97" t="s">
        <v>56</v>
      </c>
      <c r="H97" t="s">
        <v>16</v>
      </c>
      <c r="I97" t="s">
        <v>345</v>
      </c>
      <c r="J97" t="s">
        <v>44</v>
      </c>
      <c r="K97" t="s">
        <v>32</v>
      </c>
      <c r="L97" t="s">
        <v>115</v>
      </c>
    </row>
    <row r="98" spans="1:12" x14ac:dyDescent="0.3">
      <c r="A98">
        <v>1468</v>
      </c>
      <c r="B98" t="s">
        <v>31</v>
      </c>
      <c r="C98">
        <v>19</v>
      </c>
      <c r="D98" t="s">
        <v>12</v>
      </c>
      <c r="E98" t="s">
        <v>83</v>
      </c>
      <c r="F98" t="s">
        <v>346</v>
      </c>
      <c r="G98" t="s">
        <v>56</v>
      </c>
      <c r="H98" t="s">
        <v>89</v>
      </c>
      <c r="I98" t="s">
        <v>347</v>
      </c>
      <c r="J98" t="s">
        <v>348</v>
      </c>
      <c r="K98" t="s">
        <v>39</v>
      </c>
      <c r="L98" t="s">
        <v>115</v>
      </c>
    </row>
    <row r="99" spans="1:12" x14ac:dyDescent="0.3">
      <c r="A99">
        <v>1312</v>
      </c>
      <c r="B99" t="s">
        <v>11</v>
      </c>
      <c r="C99">
        <v>25</v>
      </c>
      <c r="D99" t="s">
        <v>12</v>
      </c>
      <c r="E99" t="s">
        <v>13</v>
      </c>
      <c r="F99" t="s">
        <v>349</v>
      </c>
      <c r="G99" t="s">
        <v>65</v>
      </c>
      <c r="H99" t="s">
        <v>141</v>
      </c>
      <c r="I99" t="s">
        <v>350</v>
      </c>
      <c r="J99" t="s">
        <v>351</v>
      </c>
      <c r="K99" t="s">
        <v>39</v>
      </c>
      <c r="L99" t="s">
        <v>40</v>
      </c>
    </row>
    <row r="100" spans="1:12" x14ac:dyDescent="0.3">
      <c r="A100">
        <v>1305</v>
      </c>
      <c r="B100" t="s">
        <v>106</v>
      </c>
      <c r="C100">
        <v>20</v>
      </c>
      <c r="D100" t="s">
        <v>23</v>
      </c>
      <c r="E100" t="s">
        <v>83</v>
      </c>
      <c r="F100" t="s">
        <v>352</v>
      </c>
      <c r="G100" t="s">
        <v>49</v>
      </c>
      <c r="H100" t="s">
        <v>129</v>
      </c>
      <c r="I100" t="s">
        <v>353</v>
      </c>
      <c r="J100" t="s">
        <v>289</v>
      </c>
      <c r="K100" t="s">
        <v>39</v>
      </c>
      <c r="L100" t="s">
        <v>100</v>
      </c>
    </row>
    <row r="101" spans="1:12" x14ac:dyDescent="0.3">
      <c r="A101">
        <v>1268</v>
      </c>
      <c r="B101" t="s">
        <v>135</v>
      </c>
      <c r="D101" t="s">
        <v>107</v>
      </c>
      <c r="E101" t="s">
        <v>83</v>
      </c>
      <c r="F101" t="s">
        <v>354</v>
      </c>
      <c r="G101" t="s">
        <v>35</v>
      </c>
      <c r="H101" t="s">
        <v>103</v>
      </c>
      <c r="I101" t="s">
        <v>355</v>
      </c>
      <c r="J101" t="s">
        <v>356</v>
      </c>
      <c r="K101" t="s">
        <v>52</v>
      </c>
      <c r="L101" t="s">
        <v>100</v>
      </c>
    </row>
    <row r="102" spans="1:12" x14ac:dyDescent="0.3">
      <c r="A102">
        <v>1018</v>
      </c>
      <c r="B102" t="s">
        <v>106</v>
      </c>
      <c r="C102" t="s">
        <v>22</v>
      </c>
      <c r="D102" t="s">
        <v>32</v>
      </c>
      <c r="E102" t="s">
        <v>24</v>
      </c>
      <c r="F102" t="s">
        <v>357</v>
      </c>
      <c r="G102" t="s">
        <v>65</v>
      </c>
      <c r="H102" t="s">
        <v>109</v>
      </c>
      <c r="I102" t="s">
        <v>358</v>
      </c>
      <c r="J102" t="s">
        <v>359</v>
      </c>
      <c r="K102" t="s">
        <v>52</v>
      </c>
      <c r="L102" t="s">
        <v>40</v>
      </c>
    </row>
    <row r="103" spans="1:12" x14ac:dyDescent="0.3">
      <c r="A103">
        <v>1465</v>
      </c>
      <c r="B103" t="s">
        <v>119</v>
      </c>
      <c r="C103" t="s">
        <v>22</v>
      </c>
      <c r="D103" t="s">
        <v>101</v>
      </c>
      <c r="E103" t="s">
        <v>24</v>
      </c>
      <c r="F103" t="s">
        <v>360</v>
      </c>
      <c r="G103" t="s">
        <v>35</v>
      </c>
      <c r="H103" t="s">
        <v>27</v>
      </c>
      <c r="I103" t="s">
        <v>158</v>
      </c>
      <c r="J103" t="s">
        <v>361</v>
      </c>
      <c r="K103" t="s">
        <v>52</v>
      </c>
      <c r="L103" t="s">
        <v>30</v>
      </c>
    </row>
    <row r="104" spans="1:12" x14ac:dyDescent="0.3">
      <c r="A104">
        <v>1001</v>
      </c>
      <c r="B104" t="s">
        <v>73</v>
      </c>
      <c r="C104">
        <v>25</v>
      </c>
      <c r="D104" t="s">
        <v>32</v>
      </c>
      <c r="E104" t="s">
        <v>13</v>
      </c>
      <c r="F104" t="s">
        <v>362</v>
      </c>
      <c r="G104" t="s">
        <v>15</v>
      </c>
      <c r="H104" t="s">
        <v>36</v>
      </c>
      <c r="I104" t="s">
        <v>264</v>
      </c>
      <c r="J104" t="s">
        <v>363</v>
      </c>
      <c r="K104" t="s">
        <v>52</v>
      </c>
      <c r="L104" t="s">
        <v>77</v>
      </c>
    </row>
    <row r="105" spans="1:12" x14ac:dyDescent="0.3">
      <c r="A105">
        <v>1051</v>
      </c>
      <c r="B105" t="s">
        <v>162</v>
      </c>
      <c r="C105" t="s">
        <v>96</v>
      </c>
      <c r="D105" t="s">
        <v>101</v>
      </c>
      <c r="E105" t="s">
        <v>63</v>
      </c>
      <c r="F105" t="s">
        <v>364</v>
      </c>
      <c r="G105" t="s">
        <v>85</v>
      </c>
      <c r="H105" t="s">
        <v>16</v>
      </c>
      <c r="I105" t="s">
        <v>365</v>
      </c>
      <c r="J105" t="s">
        <v>221</v>
      </c>
      <c r="K105" t="s">
        <v>39</v>
      </c>
      <c r="L105" t="s">
        <v>60</v>
      </c>
    </row>
    <row r="106" spans="1:12" x14ac:dyDescent="0.3">
      <c r="A106">
        <v>1428</v>
      </c>
      <c r="B106" t="s">
        <v>154</v>
      </c>
      <c r="C106" t="s">
        <v>61</v>
      </c>
      <c r="D106" t="s">
        <v>101</v>
      </c>
      <c r="E106" t="s">
        <v>33</v>
      </c>
      <c r="F106" t="s">
        <v>366</v>
      </c>
      <c r="G106" t="s">
        <v>15</v>
      </c>
      <c r="H106" t="s">
        <v>27</v>
      </c>
      <c r="I106" t="s">
        <v>264</v>
      </c>
      <c r="J106" t="s">
        <v>367</v>
      </c>
      <c r="K106" t="s">
        <v>32</v>
      </c>
      <c r="L106" t="s">
        <v>100</v>
      </c>
    </row>
    <row r="107" spans="1:12" x14ac:dyDescent="0.3">
      <c r="A107">
        <v>1373</v>
      </c>
      <c r="B107" t="s">
        <v>11</v>
      </c>
      <c r="D107" t="s">
        <v>62</v>
      </c>
      <c r="E107" t="s">
        <v>83</v>
      </c>
      <c r="F107" t="s">
        <v>368</v>
      </c>
      <c r="G107" t="s">
        <v>65</v>
      </c>
      <c r="H107" t="s">
        <v>89</v>
      </c>
      <c r="I107" t="s">
        <v>325</v>
      </c>
      <c r="J107" t="s">
        <v>369</v>
      </c>
      <c r="K107" t="s">
        <v>59</v>
      </c>
      <c r="L107" t="s">
        <v>115</v>
      </c>
    </row>
    <row r="108" spans="1:12" x14ac:dyDescent="0.3">
      <c r="A108">
        <v>1233</v>
      </c>
      <c r="B108" t="s">
        <v>154</v>
      </c>
      <c r="C108" t="s">
        <v>22</v>
      </c>
      <c r="D108" t="s">
        <v>12</v>
      </c>
      <c r="E108" t="s">
        <v>13</v>
      </c>
      <c r="F108" t="s">
        <v>370</v>
      </c>
      <c r="G108" t="s">
        <v>56</v>
      </c>
      <c r="H108" t="s">
        <v>129</v>
      </c>
      <c r="I108" t="s">
        <v>371</v>
      </c>
      <c r="J108" t="s">
        <v>372</v>
      </c>
      <c r="K108" t="s">
        <v>32</v>
      </c>
      <c r="L108" t="s">
        <v>20</v>
      </c>
    </row>
    <row r="109" spans="1:12" x14ac:dyDescent="0.3">
      <c r="A109">
        <v>1304</v>
      </c>
      <c r="B109" t="s">
        <v>73</v>
      </c>
      <c r="C109">
        <v>22</v>
      </c>
      <c r="D109" t="s">
        <v>23</v>
      </c>
      <c r="E109" t="s">
        <v>33</v>
      </c>
      <c r="F109" t="s">
        <v>373</v>
      </c>
      <c r="G109" t="s">
        <v>140</v>
      </c>
      <c r="H109" t="s">
        <v>129</v>
      </c>
      <c r="I109" t="s">
        <v>322</v>
      </c>
      <c r="J109" t="s">
        <v>175</v>
      </c>
      <c r="K109" t="s">
        <v>59</v>
      </c>
      <c r="L109" t="s">
        <v>100</v>
      </c>
    </row>
    <row r="110" spans="1:12" x14ac:dyDescent="0.3">
      <c r="A110">
        <v>1056</v>
      </c>
      <c r="B110" t="s">
        <v>11</v>
      </c>
      <c r="C110">
        <v>22</v>
      </c>
      <c r="D110" t="s">
        <v>62</v>
      </c>
      <c r="E110" t="s">
        <v>24</v>
      </c>
      <c r="F110" t="s">
        <v>374</v>
      </c>
      <c r="G110" t="s">
        <v>26</v>
      </c>
      <c r="H110" t="s">
        <v>103</v>
      </c>
      <c r="I110" t="s">
        <v>375</v>
      </c>
      <c r="J110" t="s">
        <v>376</v>
      </c>
      <c r="K110" t="s">
        <v>52</v>
      </c>
      <c r="L110" t="s">
        <v>115</v>
      </c>
    </row>
    <row r="111" spans="1:12" x14ac:dyDescent="0.3">
      <c r="A111">
        <v>1475</v>
      </c>
      <c r="B111" t="s">
        <v>73</v>
      </c>
      <c r="C111">
        <v>22</v>
      </c>
      <c r="D111" t="s">
        <v>107</v>
      </c>
      <c r="E111" t="s">
        <v>120</v>
      </c>
      <c r="F111" t="s">
        <v>377</v>
      </c>
      <c r="G111" t="s">
        <v>22</v>
      </c>
      <c r="H111" t="s">
        <v>27</v>
      </c>
      <c r="I111" t="s">
        <v>378</v>
      </c>
      <c r="J111" t="s">
        <v>164</v>
      </c>
      <c r="K111" t="s">
        <v>19</v>
      </c>
      <c r="L111" t="s">
        <v>77</v>
      </c>
    </row>
    <row r="112" spans="1:12" x14ac:dyDescent="0.3">
      <c r="A112">
        <v>1433</v>
      </c>
      <c r="B112" t="s">
        <v>46</v>
      </c>
      <c r="C112">
        <v>25</v>
      </c>
      <c r="D112" t="s">
        <v>101</v>
      </c>
      <c r="E112" t="s">
        <v>155</v>
      </c>
      <c r="F112" t="s">
        <v>379</v>
      </c>
      <c r="G112" t="s">
        <v>85</v>
      </c>
      <c r="H112" t="s">
        <v>36</v>
      </c>
      <c r="I112" t="s">
        <v>380</v>
      </c>
      <c r="J112" t="s">
        <v>338</v>
      </c>
      <c r="K112" t="s">
        <v>59</v>
      </c>
      <c r="L112" t="s">
        <v>30</v>
      </c>
    </row>
    <row r="113" spans="1:12" x14ac:dyDescent="0.3">
      <c r="A113">
        <v>1342</v>
      </c>
      <c r="B113" t="s">
        <v>11</v>
      </c>
      <c r="C113">
        <v>25</v>
      </c>
      <c r="D113" t="s">
        <v>41</v>
      </c>
      <c r="E113" t="s">
        <v>63</v>
      </c>
      <c r="F113" t="s">
        <v>381</v>
      </c>
      <c r="G113" t="s">
        <v>65</v>
      </c>
      <c r="H113" t="s">
        <v>217</v>
      </c>
      <c r="I113" t="s">
        <v>382</v>
      </c>
      <c r="J113" t="s">
        <v>383</v>
      </c>
      <c r="K113" t="s">
        <v>19</v>
      </c>
      <c r="L113" t="s">
        <v>20</v>
      </c>
    </row>
    <row r="114" spans="1:12" x14ac:dyDescent="0.3">
      <c r="A114">
        <v>1003</v>
      </c>
      <c r="B114" t="s">
        <v>116</v>
      </c>
      <c r="C114" t="s">
        <v>61</v>
      </c>
      <c r="D114" t="s">
        <v>68</v>
      </c>
      <c r="E114" t="s">
        <v>47</v>
      </c>
      <c r="F114" t="s">
        <v>384</v>
      </c>
      <c r="G114" t="s">
        <v>56</v>
      </c>
      <c r="H114" t="s">
        <v>217</v>
      </c>
      <c r="I114" t="s">
        <v>294</v>
      </c>
      <c r="J114" t="s">
        <v>385</v>
      </c>
      <c r="K114" t="s">
        <v>19</v>
      </c>
      <c r="L114" t="s">
        <v>77</v>
      </c>
    </row>
    <row r="115" spans="1:12" x14ac:dyDescent="0.3">
      <c r="A115">
        <v>1067</v>
      </c>
      <c r="B115" t="s">
        <v>162</v>
      </c>
      <c r="C115" t="s">
        <v>127</v>
      </c>
      <c r="D115" t="s">
        <v>107</v>
      </c>
      <c r="E115" t="s">
        <v>63</v>
      </c>
      <c r="F115" t="s">
        <v>386</v>
      </c>
      <c r="G115" t="s">
        <v>56</v>
      </c>
      <c r="H115" t="s">
        <v>109</v>
      </c>
      <c r="I115" t="s">
        <v>195</v>
      </c>
      <c r="J115" t="s">
        <v>387</v>
      </c>
      <c r="K115" t="s">
        <v>19</v>
      </c>
      <c r="L115" t="s">
        <v>115</v>
      </c>
    </row>
    <row r="116" spans="1:12" x14ac:dyDescent="0.3">
      <c r="A116">
        <v>1139</v>
      </c>
      <c r="B116" t="s">
        <v>21</v>
      </c>
      <c r="C116" t="s">
        <v>61</v>
      </c>
      <c r="D116" t="s">
        <v>68</v>
      </c>
      <c r="E116" t="s">
        <v>83</v>
      </c>
      <c r="F116" t="s">
        <v>388</v>
      </c>
      <c r="G116" t="s">
        <v>15</v>
      </c>
      <c r="H116" t="s">
        <v>36</v>
      </c>
      <c r="I116" t="s">
        <v>389</v>
      </c>
      <c r="J116" t="s">
        <v>390</v>
      </c>
      <c r="K116" t="s">
        <v>59</v>
      </c>
      <c r="L116" t="s">
        <v>77</v>
      </c>
    </row>
    <row r="117" spans="1:12" x14ac:dyDescent="0.3">
      <c r="A117">
        <v>1149</v>
      </c>
      <c r="B117" t="s">
        <v>135</v>
      </c>
      <c r="C117">
        <v>22</v>
      </c>
      <c r="D117" t="s">
        <v>54</v>
      </c>
      <c r="E117" t="s">
        <v>47</v>
      </c>
      <c r="F117" t="s">
        <v>391</v>
      </c>
      <c r="G117" t="s">
        <v>65</v>
      </c>
      <c r="H117" t="s">
        <v>16</v>
      </c>
      <c r="I117" t="s">
        <v>392</v>
      </c>
      <c r="J117" t="s">
        <v>393</v>
      </c>
      <c r="K117" t="s">
        <v>32</v>
      </c>
      <c r="L117" t="s">
        <v>53</v>
      </c>
    </row>
    <row r="118" spans="1:12" x14ac:dyDescent="0.3">
      <c r="A118">
        <v>1473</v>
      </c>
      <c r="B118" t="s">
        <v>162</v>
      </c>
      <c r="C118">
        <v>19</v>
      </c>
      <c r="D118" t="s">
        <v>32</v>
      </c>
      <c r="E118" t="s">
        <v>83</v>
      </c>
      <c r="F118" t="s">
        <v>394</v>
      </c>
      <c r="G118" t="s">
        <v>22</v>
      </c>
      <c r="H118" t="s">
        <v>89</v>
      </c>
      <c r="I118" t="s">
        <v>111</v>
      </c>
      <c r="J118" t="s">
        <v>395</v>
      </c>
      <c r="K118" t="s">
        <v>95</v>
      </c>
      <c r="L118" t="s">
        <v>40</v>
      </c>
    </row>
    <row r="119" spans="1:12" x14ac:dyDescent="0.3">
      <c r="A119">
        <v>1103</v>
      </c>
      <c r="B119" t="s">
        <v>116</v>
      </c>
      <c r="C119">
        <v>23</v>
      </c>
      <c r="D119" t="s">
        <v>101</v>
      </c>
      <c r="E119" t="s">
        <v>155</v>
      </c>
      <c r="F119" t="s">
        <v>396</v>
      </c>
      <c r="G119" t="s">
        <v>26</v>
      </c>
      <c r="H119" t="s">
        <v>75</v>
      </c>
      <c r="I119" t="s">
        <v>29</v>
      </c>
      <c r="J119" t="s">
        <v>397</v>
      </c>
      <c r="K119" t="s">
        <v>59</v>
      </c>
      <c r="L119" t="s">
        <v>115</v>
      </c>
    </row>
    <row r="120" spans="1:12" x14ac:dyDescent="0.3">
      <c r="A120">
        <v>1489</v>
      </c>
      <c r="B120" t="s">
        <v>106</v>
      </c>
      <c r="C120">
        <v>23</v>
      </c>
      <c r="D120" t="s">
        <v>68</v>
      </c>
      <c r="E120" t="s">
        <v>79</v>
      </c>
      <c r="F120" t="s">
        <v>398</v>
      </c>
      <c r="G120" t="s">
        <v>65</v>
      </c>
      <c r="H120" t="s">
        <v>103</v>
      </c>
      <c r="I120" t="s">
        <v>399</v>
      </c>
      <c r="J120" t="s">
        <v>114</v>
      </c>
      <c r="K120" t="s">
        <v>95</v>
      </c>
      <c r="L120" t="s">
        <v>77</v>
      </c>
    </row>
    <row r="121" spans="1:12" x14ac:dyDescent="0.3">
      <c r="A121">
        <v>1354</v>
      </c>
      <c r="B121" t="s">
        <v>78</v>
      </c>
      <c r="C121" t="s">
        <v>96</v>
      </c>
      <c r="D121" t="s">
        <v>101</v>
      </c>
      <c r="E121" t="s">
        <v>33</v>
      </c>
      <c r="F121" t="s">
        <v>400</v>
      </c>
      <c r="G121" t="s">
        <v>49</v>
      </c>
      <c r="H121" t="s">
        <v>36</v>
      </c>
      <c r="I121" t="s">
        <v>76</v>
      </c>
      <c r="J121" t="s">
        <v>246</v>
      </c>
      <c r="K121" t="s">
        <v>95</v>
      </c>
      <c r="L121" t="s">
        <v>40</v>
      </c>
    </row>
    <row r="122" spans="1:12" x14ac:dyDescent="0.3">
      <c r="A122">
        <v>1003</v>
      </c>
      <c r="B122" t="s">
        <v>11</v>
      </c>
      <c r="C122" t="s">
        <v>61</v>
      </c>
      <c r="D122" t="s">
        <v>101</v>
      </c>
      <c r="E122" t="s">
        <v>120</v>
      </c>
      <c r="F122" t="s">
        <v>401</v>
      </c>
      <c r="G122" t="s">
        <v>49</v>
      </c>
      <c r="H122" t="s">
        <v>89</v>
      </c>
      <c r="I122" t="s">
        <v>402</v>
      </c>
      <c r="J122" t="s">
        <v>403</v>
      </c>
      <c r="K122" t="s">
        <v>39</v>
      </c>
      <c r="L122" t="s">
        <v>60</v>
      </c>
    </row>
    <row r="123" spans="1:12" x14ac:dyDescent="0.3">
      <c r="A123">
        <v>1395</v>
      </c>
      <c r="B123" t="s">
        <v>119</v>
      </c>
      <c r="D123" t="s">
        <v>62</v>
      </c>
      <c r="E123" t="s">
        <v>42</v>
      </c>
      <c r="F123" t="s">
        <v>404</v>
      </c>
      <c r="G123" t="s">
        <v>140</v>
      </c>
      <c r="H123" t="s">
        <v>141</v>
      </c>
      <c r="I123" t="s">
        <v>405</v>
      </c>
      <c r="J123" t="s">
        <v>406</v>
      </c>
      <c r="K123" t="s">
        <v>32</v>
      </c>
      <c r="L123" t="s">
        <v>30</v>
      </c>
    </row>
    <row r="124" spans="1:12" x14ac:dyDescent="0.3">
      <c r="A124">
        <v>1259</v>
      </c>
      <c r="B124" t="s">
        <v>46</v>
      </c>
      <c r="C124">
        <v>23</v>
      </c>
      <c r="D124" t="s">
        <v>54</v>
      </c>
      <c r="E124" t="s">
        <v>42</v>
      </c>
      <c r="F124" t="s">
        <v>407</v>
      </c>
      <c r="G124" t="s">
        <v>49</v>
      </c>
      <c r="H124" t="s">
        <v>89</v>
      </c>
      <c r="I124" t="s">
        <v>351</v>
      </c>
      <c r="J124" t="s">
        <v>408</v>
      </c>
      <c r="K124" t="s">
        <v>19</v>
      </c>
      <c r="L124" t="s">
        <v>40</v>
      </c>
    </row>
    <row r="125" spans="1:12" x14ac:dyDescent="0.3">
      <c r="A125">
        <v>1243</v>
      </c>
      <c r="B125" t="s">
        <v>162</v>
      </c>
      <c r="C125">
        <v>19</v>
      </c>
      <c r="D125" t="s">
        <v>23</v>
      </c>
      <c r="E125" t="s">
        <v>13</v>
      </c>
      <c r="F125" t="s">
        <v>409</v>
      </c>
      <c r="G125" t="s">
        <v>49</v>
      </c>
      <c r="H125" t="s">
        <v>27</v>
      </c>
      <c r="I125" t="s">
        <v>410</v>
      </c>
      <c r="J125" t="s">
        <v>411</v>
      </c>
      <c r="K125" t="s">
        <v>32</v>
      </c>
      <c r="L125" t="s">
        <v>77</v>
      </c>
    </row>
    <row r="126" spans="1:12" x14ac:dyDescent="0.3">
      <c r="A126">
        <v>1222</v>
      </c>
      <c r="B126" t="s">
        <v>46</v>
      </c>
      <c r="C126">
        <v>18</v>
      </c>
      <c r="D126" t="s">
        <v>12</v>
      </c>
      <c r="E126" t="s">
        <v>166</v>
      </c>
      <c r="F126" t="s">
        <v>412</v>
      </c>
      <c r="G126" t="s">
        <v>35</v>
      </c>
      <c r="H126" t="s">
        <v>103</v>
      </c>
      <c r="I126" t="s">
        <v>281</v>
      </c>
      <c r="J126" t="s">
        <v>413</v>
      </c>
      <c r="K126" t="s">
        <v>19</v>
      </c>
      <c r="L126" t="s">
        <v>77</v>
      </c>
    </row>
    <row r="127" spans="1:12" x14ac:dyDescent="0.3">
      <c r="A127">
        <v>1262</v>
      </c>
      <c r="B127" t="s">
        <v>73</v>
      </c>
      <c r="C127">
        <v>24</v>
      </c>
      <c r="D127" t="s">
        <v>32</v>
      </c>
      <c r="E127" t="s">
        <v>120</v>
      </c>
      <c r="F127" t="s">
        <v>414</v>
      </c>
      <c r="G127" t="s">
        <v>65</v>
      </c>
      <c r="H127" t="s">
        <v>89</v>
      </c>
      <c r="I127" t="s">
        <v>415</v>
      </c>
      <c r="J127" t="s">
        <v>416</v>
      </c>
      <c r="K127" t="s">
        <v>32</v>
      </c>
      <c r="L127" t="s">
        <v>40</v>
      </c>
    </row>
    <row r="128" spans="1:12" x14ac:dyDescent="0.3">
      <c r="A128">
        <v>1265</v>
      </c>
      <c r="B128" t="s">
        <v>73</v>
      </c>
      <c r="C128">
        <v>18</v>
      </c>
      <c r="D128" t="s">
        <v>12</v>
      </c>
      <c r="E128" t="s">
        <v>79</v>
      </c>
      <c r="F128" t="s">
        <v>417</v>
      </c>
      <c r="G128" t="s">
        <v>85</v>
      </c>
      <c r="H128" t="s">
        <v>89</v>
      </c>
      <c r="I128" t="s">
        <v>418</v>
      </c>
      <c r="J128" t="s">
        <v>131</v>
      </c>
      <c r="K128" t="s">
        <v>32</v>
      </c>
      <c r="L128" t="s">
        <v>115</v>
      </c>
    </row>
    <row r="129" spans="1:12" x14ac:dyDescent="0.3">
      <c r="A129">
        <v>1087</v>
      </c>
      <c r="B129" t="s">
        <v>73</v>
      </c>
      <c r="C129" t="s">
        <v>61</v>
      </c>
      <c r="D129" t="s">
        <v>41</v>
      </c>
      <c r="E129" t="s">
        <v>79</v>
      </c>
      <c r="F129" t="s">
        <v>419</v>
      </c>
      <c r="G129" t="s">
        <v>49</v>
      </c>
      <c r="H129" t="s">
        <v>27</v>
      </c>
      <c r="I129" t="s">
        <v>153</v>
      </c>
      <c r="J129" t="s">
        <v>72</v>
      </c>
      <c r="K129" t="s">
        <v>52</v>
      </c>
      <c r="L129" t="s">
        <v>30</v>
      </c>
    </row>
    <row r="130" spans="1:12" x14ac:dyDescent="0.3">
      <c r="A130">
        <v>1014</v>
      </c>
      <c r="B130" t="s">
        <v>106</v>
      </c>
      <c r="C130">
        <v>22</v>
      </c>
      <c r="D130" t="s">
        <v>32</v>
      </c>
      <c r="E130" t="s">
        <v>47</v>
      </c>
      <c r="F130" t="s">
        <v>420</v>
      </c>
      <c r="G130" t="s">
        <v>35</v>
      </c>
      <c r="H130" t="s">
        <v>141</v>
      </c>
      <c r="I130" t="s">
        <v>421</v>
      </c>
      <c r="J130" t="s">
        <v>410</v>
      </c>
      <c r="K130" t="s">
        <v>39</v>
      </c>
      <c r="L130" t="s">
        <v>115</v>
      </c>
    </row>
    <row r="131" spans="1:12" x14ac:dyDescent="0.3">
      <c r="A131">
        <v>1486</v>
      </c>
      <c r="B131" t="s">
        <v>46</v>
      </c>
      <c r="C131">
        <v>24</v>
      </c>
      <c r="D131" t="s">
        <v>54</v>
      </c>
      <c r="E131" t="s">
        <v>83</v>
      </c>
      <c r="F131" t="s">
        <v>422</v>
      </c>
      <c r="G131" t="s">
        <v>70</v>
      </c>
      <c r="H131" t="s">
        <v>217</v>
      </c>
      <c r="I131" t="s">
        <v>99</v>
      </c>
      <c r="J131" t="s">
        <v>215</v>
      </c>
      <c r="K131" t="s">
        <v>95</v>
      </c>
      <c r="L131" t="s">
        <v>53</v>
      </c>
    </row>
    <row r="132" spans="1:12" x14ac:dyDescent="0.3">
      <c r="A132">
        <v>1467</v>
      </c>
      <c r="B132" t="s">
        <v>116</v>
      </c>
      <c r="D132" t="s">
        <v>32</v>
      </c>
      <c r="E132" t="s">
        <v>63</v>
      </c>
      <c r="F132" t="s">
        <v>423</v>
      </c>
      <c r="G132" t="s">
        <v>140</v>
      </c>
      <c r="H132" t="s">
        <v>109</v>
      </c>
      <c r="I132" t="s">
        <v>424</v>
      </c>
      <c r="J132" t="s">
        <v>367</v>
      </c>
      <c r="K132" t="s">
        <v>95</v>
      </c>
      <c r="L132" t="s">
        <v>77</v>
      </c>
    </row>
    <row r="133" spans="1:12" x14ac:dyDescent="0.3">
      <c r="A133">
        <v>1377</v>
      </c>
      <c r="B133" t="s">
        <v>46</v>
      </c>
      <c r="C133" t="s">
        <v>22</v>
      </c>
      <c r="D133" t="s">
        <v>54</v>
      </c>
      <c r="E133" t="s">
        <v>166</v>
      </c>
      <c r="F133" t="s">
        <v>425</v>
      </c>
      <c r="G133" t="s">
        <v>140</v>
      </c>
      <c r="H133" t="s">
        <v>129</v>
      </c>
      <c r="I133" t="s">
        <v>426</v>
      </c>
      <c r="J133" t="s">
        <v>427</v>
      </c>
      <c r="K133" t="s">
        <v>19</v>
      </c>
      <c r="L133" t="s">
        <v>20</v>
      </c>
    </row>
    <row r="134" spans="1:12" x14ac:dyDescent="0.3">
      <c r="A134">
        <v>1198</v>
      </c>
      <c r="B134" t="s">
        <v>106</v>
      </c>
      <c r="C134">
        <v>22</v>
      </c>
      <c r="D134" t="s">
        <v>23</v>
      </c>
      <c r="E134" t="s">
        <v>24</v>
      </c>
      <c r="F134" t="s">
        <v>428</v>
      </c>
      <c r="G134" t="s">
        <v>85</v>
      </c>
      <c r="H134" t="s">
        <v>27</v>
      </c>
      <c r="I134" t="s">
        <v>429</v>
      </c>
      <c r="J134" t="s">
        <v>430</v>
      </c>
      <c r="K134" t="s">
        <v>59</v>
      </c>
      <c r="L134" t="s">
        <v>100</v>
      </c>
    </row>
    <row r="135" spans="1:12" x14ac:dyDescent="0.3">
      <c r="A135">
        <v>1140</v>
      </c>
      <c r="B135" t="s">
        <v>162</v>
      </c>
      <c r="C135">
        <v>23</v>
      </c>
      <c r="D135" t="s">
        <v>107</v>
      </c>
      <c r="E135" t="s">
        <v>166</v>
      </c>
      <c r="F135" t="s">
        <v>431</v>
      </c>
      <c r="G135" t="s">
        <v>70</v>
      </c>
      <c r="H135" t="s">
        <v>141</v>
      </c>
      <c r="I135" t="s">
        <v>382</v>
      </c>
      <c r="J135" t="s">
        <v>432</v>
      </c>
      <c r="K135" t="s">
        <v>32</v>
      </c>
      <c r="L135" t="s">
        <v>30</v>
      </c>
    </row>
    <row r="136" spans="1:12" x14ac:dyDescent="0.3">
      <c r="A136">
        <v>1438</v>
      </c>
      <c r="B136" t="s">
        <v>106</v>
      </c>
      <c r="C136">
        <v>21</v>
      </c>
      <c r="D136" t="s">
        <v>62</v>
      </c>
      <c r="E136" t="s">
        <v>79</v>
      </c>
      <c r="F136" t="s">
        <v>433</v>
      </c>
      <c r="G136" t="s">
        <v>56</v>
      </c>
      <c r="H136" t="s">
        <v>129</v>
      </c>
      <c r="I136" t="s">
        <v>246</v>
      </c>
      <c r="J136" t="s">
        <v>434</v>
      </c>
      <c r="K136" t="s">
        <v>19</v>
      </c>
      <c r="L136" t="s">
        <v>77</v>
      </c>
    </row>
    <row r="137" spans="1:12" x14ac:dyDescent="0.3">
      <c r="A137">
        <v>1027</v>
      </c>
      <c r="B137" t="s">
        <v>78</v>
      </c>
      <c r="C137">
        <v>22</v>
      </c>
      <c r="D137" t="s">
        <v>68</v>
      </c>
      <c r="E137" t="s">
        <v>42</v>
      </c>
      <c r="F137" t="s">
        <v>435</v>
      </c>
      <c r="G137" t="s">
        <v>15</v>
      </c>
      <c r="H137" t="s">
        <v>89</v>
      </c>
      <c r="I137" t="s">
        <v>328</v>
      </c>
      <c r="J137" t="s">
        <v>436</v>
      </c>
      <c r="K137" t="s">
        <v>95</v>
      </c>
      <c r="L137" t="s">
        <v>40</v>
      </c>
    </row>
    <row r="138" spans="1:12" x14ac:dyDescent="0.3">
      <c r="A138">
        <v>1294</v>
      </c>
      <c r="B138" t="s">
        <v>162</v>
      </c>
      <c r="C138">
        <v>24</v>
      </c>
      <c r="D138" t="s">
        <v>101</v>
      </c>
      <c r="E138" t="s">
        <v>120</v>
      </c>
      <c r="F138" t="s">
        <v>437</v>
      </c>
      <c r="G138" t="s">
        <v>65</v>
      </c>
      <c r="H138" t="s">
        <v>103</v>
      </c>
      <c r="I138" t="s">
        <v>438</v>
      </c>
      <c r="J138" t="s">
        <v>439</v>
      </c>
      <c r="K138" t="s">
        <v>32</v>
      </c>
      <c r="L138" t="s">
        <v>20</v>
      </c>
    </row>
    <row r="139" spans="1:12" x14ac:dyDescent="0.3">
      <c r="A139">
        <v>1401</v>
      </c>
      <c r="B139" t="s">
        <v>46</v>
      </c>
      <c r="C139" t="s">
        <v>127</v>
      </c>
      <c r="D139" t="s">
        <v>41</v>
      </c>
      <c r="E139" t="s">
        <v>155</v>
      </c>
      <c r="F139" t="s">
        <v>440</v>
      </c>
      <c r="G139" t="s">
        <v>65</v>
      </c>
      <c r="H139" t="s">
        <v>129</v>
      </c>
      <c r="I139" t="s">
        <v>375</v>
      </c>
      <c r="J139" t="s">
        <v>441</v>
      </c>
      <c r="K139" t="s">
        <v>19</v>
      </c>
      <c r="L139" t="s">
        <v>30</v>
      </c>
    </row>
    <row r="140" spans="1:12" x14ac:dyDescent="0.3">
      <c r="A140">
        <v>1445</v>
      </c>
      <c r="B140" t="s">
        <v>78</v>
      </c>
      <c r="C140" t="s">
        <v>127</v>
      </c>
      <c r="D140" t="s">
        <v>62</v>
      </c>
      <c r="E140" t="s">
        <v>63</v>
      </c>
      <c r="F140" t="s">
        <v>442</v>
      </c>
      <c r="G140" t="s">
        <v>65</v>
      </c>
      <c r="H140" t="s">
        <v>16</v>
      </c>
      <c r="I140" t="s">
        <v>443</v>
      </c>
      <c r="J140" t="s">
        <v>131</v>
      </c>
      <c r="K140" t="s">
        <v>59</v>
      </c>
      <c r="L140" t="s">
        <v>20</v>
      </c>
    </row>
    <row r="141" spans="1:12" x14ac:dyDescent="0.3">
      <c r="A141">
        <v>1366</v>
      </c>
      <c r="B141" t="s">
        <v>162</v>
      </c>
      <c r="C141">
        <v>20</v>
      </c>
      <c r="D141" t="s">
        <v>68</v>
      </c>
      <c r="E141" t="s">
        <v>79</v>
      </c>
      <c r="F141" t="s">
        <v>444</v>
      </c>
      <c r="G141" t="s">
        <v>22</v>
      </c>
      <c r="H141" t="s">
        <v>141</v>
      </c>
      <c r="I141" t="s">
        <v>209</v>
      </c>
      <c r="J141" t="s">
        <v>270</v>
      </c>
      <c r="K141" t="s">
        <v>19</v>
      </c>
      <c r="L141" t="s">
        <v>53</v>
      </c>
    </row>
    <row r="142" spans="1:12" x14ac:dyDescent="0.3">
      <c r="A142">
        <v>1330</v>
      </c>
      <c r="B142" t="s">
        <v>106</v>
      </c>
      <c r="C142">
        <v>23</v>
      </c>
      <c r="D142" t="s">
        <v>107</v>
      </c>
      <c r="E142" t="s">
        <v>13</v>
      </c>
      <c r="F142" t="s">
        <v>445</v>
      </c>
      <c r="G142" t="s">
        <v>22</v>
      </c>
      <c r="H142" t="s">
        <v>89</v>
      </c>
      <c r="I142" t="s">
        <v>383</v>
      </c>
      <c r="J142" t="s">
        <v>192</v>
      </c>
      <c r="K142" t="s">
        <v>95</v>
      </c>
      <c r="L142" t="s">
        <v>60</v>
      </c>
    </row>
    <row r="143" spans="1:12" x14ac:dyDescent="0.3">
      <c r="A143">
        <v>1355</v>
      </c>
      <c r="B143" t="s">
        <v>116</v>
      </c>
      <c r="C143">
        <v>20</v>
      </c>
      <c r="D143" t="s">
        <v>41</v>
      </c>
      <c r="E143" t="s">
        <v>63</v>
      </c>
      <c r="F143" t="s">
        <v>446</v>
      </c>
      <c r="G143" t="s">
        <v>70</v>
      </c>
      <c r="H143" t="s">
        <v>217</v>
      </c>
      <c r="I143" t="s">
        <v>447</v>
      </c>
      <c r="J143" t="s">
        <v>448</v>
      </c>
      <c r="K143" t="s">
        <v>52</v>
      </c>
      <c r="L143" t="s">
        <v>100</v>
      </c>
    </row>
    <row r="144" spans="1:12" x14ac:dyDescent="0.3">
      <c r="A144">
        <v>1116</v>
      </c>
      <c r="B144" t="s">
        <v>11</v>
      </c>
      <c r="C144">
        <v>22</v>
      </c>
      <c r="D144" t="s">
        <v>54</v>
      </c>
      <c r="E144" t="s">
        <v>47</v>
      </c>
      <c r="F144" t="s">
        <v>449</v>
      </c>
      <c r="G144" t="s">
        <v>65</v>
      </c>
      <c r="H144" t="s">
        <v>141</v>
      </c>
      <c r="I144" t="s">
        <v>353</v>
      </c>
      <c r="J144" t="s">
        <v>450</v>
      </c>
      <c r="K144" t="s">
        <v>95</v>
      </c>
      <c r="L144" t="s">
        <v>60</v>
      </c>
    </row>
    <row r="145" spans="1:12" x14ac:dyDescent="0.3">
      <c r="A145">
        <v>1099</v>
      </c>
      <c r="B145" t="s">
        <v>162</v>
      </c>
      <c r="D145" t="s">
        <v>62</v>
      </c>
      <c r="E145" t="s">
        <v>33</v>
      </c>
      <c r="F145" t="s">
        <v>451</v>
      </c>
      <c r="G145" t="s">
        <v>49</v>
      </c>
      <c r="H145" t="s">
        <v>36</v>
      </c>
      <c r="I145" t="s">
        <v>452</v>
      </c>
      <c r="J145" t="s">
        <v>351</v>
      </c>
      <c r="K145" t="s">
        <v>19</v>
      </c>
      <c r="L145" t="s">
        <v>100</v>
      </c>
    </row>
    <row r="146" spans="1:12" x14ac:dyDescent="0.3">
      <c r="A146">
        <v>1193</v>
      </c>
      <c r="B146" t="s">
        <v>106</v>
      </c>
      <c r="C146">
        <v>21</v>
      </c>
      <c r="D146" t="s">
        <v>41</v>
      </c>
      <c r="E146" t="s">
        <v>120</v>
      </c>
      <c r="F146" t="s">
        <v>453</v>
      </c>
      <c r="G146" t="s">
        <v>140</v>
      </c>
      <c r="H146" t="s">
        <v>129</v>
      </c>
      <c r="I146" t="s">
        <v>454</v>
      </c>
      <c r="J146" t="s">
        <v>406</v>
      </c>
      <c r="K146" t="s">
        <v>52</v>
      </c>
      <c r="L146" t="s">
        <v>20</v>
      </c>
    </row>
    <row r="147" spans="1:12" x14ac:dyDescent="0.3">
      <c r="A147">
        <v>1303</v>
      </c>
      <c r="B147" t="s">
        <v>119</v>
      </c>
      <c r="C147">
        <v>20</v>
      </c>
      <c r="D147" t="s">
        <v>54</v>
      </c>
      <c r="E147" t="s">
        <v>13</v>
      </c>
      <c r="F147" t="s">
        <v>455</v>
      </c>
      <c r="G147" t="s">
        <v>49</v>
      </c>
      <c r="H147" t="s">
        <v>141</v>
      </c>
      <c r="I147" t="s">
        <v>456</v>
      </c>
      <c r="J147" t="s">
        <v>457</v>
      </c>
      <c r="K147" t="s">
        <v>95</v>
      </c>
      <c r="L147" t="s">
        <v>53</v>
      </c>
    </row>
    <row r="148" spans="1:12" x14ac:dyDescent="0.3">
      <c r="A148">
        <v>1493</v>
      </c>
      <c r="B148" t="s">
        <v>73</v>
      </c>
      <c r="C148" t="s">
        <v>22</v>
      </c>
      <c r="D148" t="s">
        <v>68</v>
      </c>
      <c r="E148" t="s">
        <v>47</v>
      </c>
      <c r="F148" t="s">
        <v>458</v>
      </c>
      <c r="G148" t="s">
        <v>15</v>
      </c>
      <c r="H148" t="s">
        <v>89</v>
      </c>
      <c r="I148" t="s">
        <v>459</v>
      </c>
      <c r="J148" t="s">
        <v>460</v>
      </c>
      <c r="K148" t="s">
        <v>59</v>
      </c>
      <c r="L148" t="s">
        <v>115</v>
      </c>
    </row>
    <row r="149" spans="1:12" x14ac:dyDescent="0.3">
      <c r="A149">
        <v>1016</v>
      </c>
      <c r="B149" t="s">
        <v>119</v>
      </c>
      <c r="C149">
        <v>22</v>
      </c>
      <c r="D149" t="s">
        <v>101</v>
      </c>
      <c r="E149" t="s">
        <v>83</v>
      </c>
      <c r="F149" t="s">
        <v>461</v>
      </c>
      <c r="G149" t="s">
        <v>26</v>
      </c>
      <c r="H149" t="s">
        <v>109</v>
      </c>
      <c r="I149" t="s">
        <v>262</v>
      </c>
      <c r="J149" t="s">
        <v>410</v>
      </c>
      <c r="K149" t="s">
        <v>59</v>
      </c>
      <c r="L149" t="s">
        <v>53</v>
      </c>
    </row>
    <row r="150" spans="1:12" x14ac:dyDescent="0.3">
      <c r="A150">
        <v>1133</v>
      </c>
      <c r="B150" t="s">
        <v>11</v>
      </c>
      <c r="C150" t="s">
        <v>96</v>
      </c>
      <c r="D150" t="s">
        <v>107</v>
      </c>
      <c r="E150" t="s">
        <v>155</v>
      </c>
      <c r="F150" t="s">
        <v>462</v>
      </c>
      <c r="G150" t="s">
        <v>85</v>
      </c>
      <c r="H150" t="s">
        <v>16</v>
      </c>
      <c r="I150" t="s">
        <v>249</v>
      </c>
      <c r="J150" t="s">
        <v>66</v>
      </c>
      <c r="K150" t="s">
        <v>95</v>
      </c>
      <c r="L150" t="s">
        <v>40</v>
      </c>
    </row>
    <row r="151" spans="1:12" x14ac:dyDescent="0.3">
      <c r="A151">
        <v>1360</v>
      </c>
      <c r="B151" t="s">
        <v>46</v>
      </c>
      <c r="C151">
        <v>18</v>
      </c>
      <c r="D151" t="s">
        <v>107</v>
      </c>
      <c r="E151" t="s">
        <v>166</v>
      </c>
      <c r="F151" t="s">
        <v>463</v>
      </c>
      <c r="G151" t="s">
        <v>85</v>
      </c>
      <c r="H151" t="s">
        <v>103</v>
      </c>
      <c r="I151" t="s">
        <v>432</v>
      </c>
      <c r="J151" t="s">
        <v>146</v>
      </c>
      <c r="K151" t="s">
        <v>59</v>
      </c>
      <c r="L151" t="s">
        <v>77</v>
      </c>
    </row>
    <row r="152" spans="1:12" x14ac:dyDescent="0.3">
      <c r="A152">
        <v>1109</v>
      </c>
      <c r="B152" t="s">
        <v>119</v>
      </c>
      <c r="C152">
        <v>24</v>
      </c>
      <c r="D152" t="s">
        <v>23</v>
      </c>
      <c r="E152" t="s">
        <v>79</v>
      </c>
      <c r="F152" t="s">
        <v>464</v>
      </c>
      <c r="G152" t="s">
        <v>85</v>
      </c>
      <c r="H152" t="s">
        <v>141</v>
      </c>
      <c r="I152" t="s">
        <v>465</v>
      </c>
      <c r="J152" t="s">
        <v>466</v>
      </c>
      <c r="K152" t="s">
        <v>52</v>
      </c>
      <c r="L152" t="s">
        <v>20</v>
      </c>
    </row>
    <row r="153" spans="1:12" x14ac:dyDescent="0.3">
      <c r="A153">
        <v>1086</v>
      </c>
      <c r="B153" t="s">
        <v>116</v>
      </c>
      <c r="C153" t="s">
        <v>96</v>
      </c>
      <c r="D153" t="s">
        <v>62</v>
      </c>
      <c r="E153" t="s">
        <v>47</v>
      </c>
      <c r="F153" t="s">
        <v>467</v>
      </c>
      <c r="G153" t="s">
        <v>140</v>
      </c>
      <c r="H153" t="s">
        <v>217</v>
      </c>
      <c r="I153" t="s">
        <v>468</v>
      </c>
      <c r="J153" t="s">
        <v>387</v>
      </c>
      <c r="K153" t="s">
        <v>39</v>
      </c>
      <c r="L153" t="s">
        <v>100</v>
      </c>
    </row>
    <row r="154" spans="1:12" x14ac:dyDescent="0.3">
      <c r="A154">
        <v>1046</v>
      </c>
      <c r="B154" t="s">
        <v>154</v>
      </c>
      <c r="C154" t="s">
        <v>22</v>
      </c>
      <c r="D154" t="s">
        <v>23</v>
      </c>
      <c r="E154" t="s">
        <v>120</v>
      </c>
      <c r="F154" t="s">
        <v>469</v>
      </c>
      <c r="G154" t="s">
        <v>70</v>
      </c>
      <c r="H154" t="s">
        <v>16</v>
      </c>
      <c r="I154" t="s">
        <v>470</v>
      </c>
      <c r="J154" t="s">
        <v>471</v>
      </c>
      <c r="K154" t="s">
        <v>95</v>
      </c>
      <c r="L154" t="s">
        <v>100</v>
      </c>
    </row>
    <row r="155" spans="1:12" x14ac:dyDescent="0.3">
      <c r="A155">
        <v>1271</v>
      </c>
      <c r="B155" t="s">
        <v>73</v>
      </c>
      <c r="C155" t="s">
        <v>96</v>
      </c>
      <c r="D155" t="s">
        <v>107</v>
      </c>
      <c r="E155" t="s">
        <v>63</v>
      </c>
      <c r="F155" t="s">
        <v>472</v>
      </c>
      <c r="G155" t="s">
        <v>35</v>
      </c>
      <c r="H155" t="s">
        <v>27</v>
      </c>
      <c r="I155" t="s">
        <v>473</v>
      </c>
      <c r="J155" t="s">
        <v>316</v>
      </c>
      <c r="K155" t="s">
        <v>19</v>
      </c>
      <c r="L155" t="s">
        <v>100</v>
      </c>
    </row>
    <row r="156" spans="1:12" x14ac:dyDescent="0.3">
      <c r="A156">
        <v>1315</v>
      </c>
      <c r="B156" t="s">
        <v>11</v>
      </c>
      <c r="C156">
        <v>23</v>
      </c>
      <c r="D156" t="s">
        <v>101</v>
      </c>
      <c r="E156" t="s">
        <v>79</v>
      </c>
      <c r="F156" t="s">
        <v>474</v>
      </c>
      <c r="G156" t="s">
        <v>22</v>
      </c>
      <c r="H156" t="s">
        <v>129</v>
      </c>
      <c r="I156" t="s">
        <v>363</v>
      </c>
      <c r="J156" t="s">
        <v>475</v>
      </c>
      <c r="K156" t="s">
        <v>32</v>
      </c>
      <c r="L156" t="s">
        <v>20</v>
      </c>
    </row>
    <row r="157" spans="1:12" x14ac:dyDescent="0.3">
      <c r="A157">
        <v>1296</v>
      </c>
      <c r="B157" t="s">
        <v>106</v>
      </c>
      <c r="C157">
        <v>24</v>
      </c>
      <c r="D157" t="s">
        <v>54</v>
      </c>
      <c r="E157" t="s">
        <v>42</v>
      </c>
      <c r="F157" t="s">
        <v>476</v>
      </c>
      <c r="G157" t="s">
        <v>15</v>
      </c>
      <c r="H157" t="s">
        <v>27</v>
      </c>
      <c r="I157" t="s">
        <v>122</v>
      </c>
      <c r="J157" t="s">
        <v>477</v>
      </c>
      <c r="K157" t="s">
        <v>95</v>
      </c>
      <c r="L157" t="s">
        <v>30</v>
      </c>
    </row>
    <row r="158" spans="1:12" x14ac:dyDescent="0.3">
      <c r="A158">
        <v>1409</v>
      </c>
      <c r="B158" t="s">
        <v>162</v>
      </c>
      <c r="C158">
        <v>23</v>
      </c>
      <c r="D158" t="s">
        <v>68</v>
      </c>
      <c r="E158" t="s">
        <v>120</v>
      </c>
      <c r="F158" t="s">
        <v>478</v>
      </c>
      <c r="G158" t="s">
        <v>49</v>
      </c>
      <c r="H158" t="s">
        <v>109</v>
      </c>
      <c r="I158" t="s">
        <v>479</v>
      </c>
      <c r="J158" t="s">
        <v>480</v>
      </c>
      <c r="K158" t="s">
        <v>32</v>
      </c>
      <c r="L158" t="s">
        <v>60</v>
      </c>
    </row>
    <row r="159" spans="1:12" x14ac:dyDescent="0.3">
      <c r="A159">
        <v>1301</v>
      </c>
      <c r="B159" t="s">
        <v>119</v>
      </c>
      <c r="C159">
        <v>24</v>
      </c>
      <c r="D159" t="s">
        <v>54</v>
      </c>
      <c r="E159" t="s">
        <v>79</v>
      </c>
      <c r="F159" t="s">
        <v>481</v>
      </c>
      <c r="G159" t="s">
        <v>49</v>
      </c>
      <c r="H159" t="s">
        <v>36</v>
      </c>
      <c r="I159" t="s">
        <v>94</v>
      </c>
      <c r="J159" t="s">
        <v>232</v>
      </c>
      <c r="K159" t="s">
        <v>95</v>
      </c>
      <c r="L159" t="s">
        <v>100</v>
      </c>
    </row>
    <row r="160" spans="1:12" x14ac:dyDescent="0.3">
      <c r="A160">
        <v>1433</v>
      </c>
      <c r="B160" t="s">
        <v>119</v>
      </c>
      <c r="C160">
        <v>18</v>
      </c>
      <c r="D160" t="s">
        <v>54</v>
      </c>
      <c r="E160" t="s">
        <v>33</v>
      </c>
      <c r="F160" t="s">
        <v>482</v>
      </c>
      <c r="G160" t="s">
        <v>49</v>
      </c>
      <c r="H160" t="s">
        <v>217</v>
      </c>
      <c r="I160" t="s">
        <v>483</v>
      </c>
      <c r="J160" t="s">
        <v>484</v>
      </c>
      <c r="K160" t="s">
        <v>59</v>
      </c>
      <c r="L160" t="s">
        <v>115</v>
      </c>
    </row>
    <row r="161" spans="1:12" x14ac:dyDescent="0.3">
      <c r="A161">
        <v>1256</v>
      </c>
      <c r="B161" t="s">
        <v>154</v>
      </c>
      <c r="C161">
        <v>22</v>
      </c>
      <c r="D161" t="s">
        <v>68</v>
      </c>
      <c r="E161" t="s">
        <v>33</v>
      </c>
      <c r="F161" t="s">
        <v>485</v>
      </c>
      <c r="G161" t="s">
        <v>85</v>
      </c>
      <c r="H161" t="s">
        <v>217</v>
      </c>
      <c r="I161" t="s">
        <v>486</v>
      </c>
      <c r="J161" t="s">
        <v>487</v>
      </c>
      <c r="K161" t="s">
        <v>59</v>
      </c>
      <c r="L161" t="s">
        <v>53</v>
      </c>
    </row>
    <row r="162" spans="1:12" x14ac:dyDescent="0.3">
      <c r="A162">
        <v>1419</v>
      </c>
      <c r="B162" t="s">
        <v>116</v>
      </c>
      <c r="D162" t="s">
        <v>41</v>
      </c>
      <c r="E162" t="s">
        <v>79</v>
      </c>
      <c r="F162" t="s">
        <v>488</v>
      </c>
      <c r="G162" t="s">
        <v>35</v>
      </c>
      <c r="H162" t="s">
        <v>217</v>
      </c>
      <c r="I162" t="s">
        <v>489</v>
      </c>
      <c r="J162" t="s">
        <v>226</v>
      </c>
      <c r="K162" t="s">
        <v>19</v>
      </c>
      <c r="L162" t="s">
        <v>115</v>
      </c>
    </row>
    <row r="163" spans="1:12" x14ac:dyDescent="0.3">
      <c r="A163">
        <v>1413</v>
      </c>
      <c r="B163" t="s">
        <v>106</v>
      </c>
      <c r="C163" t="s">
        <v>61</v>
      </c>
      <c r="D163" t="s">
        <v>107</v>
      </c>
      <c r="E163" t="s">
        <v>79</v>
      </c>
      <c r="F163" t="s">
        <v>490</v>
      </c>
      <c r="G163" t="s">
        <v>15</v>
      </c>
      <c r="H163" t="s">
        <v>141</v>
      </c>
      <c r="I163" t="s">
        <v>491</v>
      </c>
      <c r="J163" t="s">
        <v>492</v>
      </c>
      <c r="K163" t="s">
        <v>52</v>
      </c>
      <c r="L163" t="s">
        <v>53</v>
      </c>
    </row>
    <row r="164" spans="1:12" x14ac:dyDescent="0.3">
      <c r="A164">
        <v>1385</v>
      </c>
      <c r="B164" t="s">
        <v>78</v>
      </c>
      <c r="C164">
        <v>18</v>
      </c>
      <c r="D164" t="s">
        <v>107</v>
      </c>
      <c r="E164" t="s">
        <v>83</v>
      </c>
      <c r="F164" t="s">
        <v>493</v>
      </c>
      <c r="G164" t="s">
        <v>15</v>
      </c>
      <c r="H164" t="s">
        <v>217</v>
      </c>
      <c r="I164" t="s">
        <v>197</v>
      </c>
      <c r="J164" t="s">
        <v>356</v>
      </c>
      <c r="K164" t="s">
        <v>52</v>
      </c>
      <c r="L164" t="s">
        <v>40</v>
      </c>
    </row>
    <row r="165" spans="1:12" x14ac:dyDescent="0.3">
      <c r="A165">
        <v>1467</v>
      </c>
      <c r="B165" t="s">
        <v>162</v>
      </c>
      <c r="C165" t="s">
        <v>127</v>
      </c>
      <c r="D165" t="s">
        <v>41</v>
      </c>
      <c r="E165" t="s">
        <v>166</v>
      </c>
      <c r="F165" t="s">
        <v>494</v>
      </c>
      <c r="G165" t="s">
        <v>26</v>
      </c>
      <c r="H165" t="s">
        <v>16</v>
      </c>
      <c r="I165" t="s">
        <v>495</v>
      </c>
      <c r="J165" t="s">
        <v>276</v>
      </c>
      <c r="K165" t="s">
        <v>95</v>
      </c>
      <c r="L165" t="s">
        <v>40</v>
      </c>
    </row>
    <row r="166" spans="1:12" x14ac:dyDescent="0.3">
      <c r="A166">
        <v>1324</v>
      </c>
      <c r="B166" t="s">
        <v>106</v>
      </c>
      <c r="C166" t="s">
        <v>96</v>
      </c>
      <c r="D166" t="s">
        <v>68</v>
      </c>
      <c r="E166" t="s">
        <v>42</v>
      </c>
      <c r="F166" t="s">
        <v>496</v>
      </c>
      <c r="G166" t="s">
        <v>49</v>
      </c>
      <c r="H166" t="s">
        <v>109</v>
      </c>
      <c r="I166" t="s">
        <v>350</v>
      </c>
      <c r="J166" t="s">
        <v>497</v>
      </c>
      <c r="K166" t="s">
        <v>59</v>
      </c>
      <c r="L166" t="s">
        <v>60</v>
      </c>
    </row>
    <row r="167" spans="1:12" x14ac:dyDescent="0.3">
      <c r="A167">
        <v>1414</v>
      </c>
      <c r="B167" t="s">
        <v>46</v>
      </c>
      <c r="C167">
        <v>18</v>
      </c>
      <c r="D167" t="s">
        <v>54</v>
      </c>
      <c r="E167" t="s">
        <v>13</v>
      </c>
      <c r="F167" t="s">
        <v>498</v>
      </c>
      <c r="G167" t="s">
        <v>56</v>
      </c>
      <c r="H167" t="s">
        <v>75</v>
      </c>
      <c r="I167" t="s">
        <v>470</v>
      </c>
      <c r="J167" t="s">
        <v>254</v>
      </c>
      <c r="K167" t="s">
        <v>52</v>
      </c>
      <c r="L167" t="s">
        <v>30</v>
      </c>
    </row>
    <row r="168" spans="1:12" x14ac:dyDescent="0.3">
      <c r="A168">
        <v>1391</v>
      </c>
      <c r="B168" t="s">
        <v>11</v>
      </c>
      <c r="C168">
        <v>23</v>
      </c>
      <c r="D168" t="s">
        <v>23</v>
      </c>
      <c r="E168" t="s">
        <v>42</v>
      </c>
      <c r="F168" t="s">
        <v>499</v>
      </c>
      <c r="G168" t="s">
        <v>49</v>
      </c>
      <c r="H168" t="s">
        <v>109</v>
      </c>
      <c r="I168" t="s">
        <v>450</v>
      </c>
      <c r="J168" t="s">
        <v>215</v>
      </c>
      <c r="K168" t="s">
        <v>39</v>
      </c>
      <c r="L168" t="s">
        <v>115</v>
      </c>
    </row>
    <row r="169" spans="1:12" x14ac:dyDescent="0.3">
      <c r="A169">
        <v>1349</v>
      </c>
      <c r="B169" t="s">
        <v>116</v>
      </c>
      <c r="C169">
        <v>24</v>
      </c>
      <c r="D169" t="s">
        <v>68</v>
      </c>
      <c r="E169" t="s">
        <v>83</v>
      </c>
      <c r="F169" t="s">
        <v>500</v>
      </c>
      <c r="G169" t="s">
        <v>56</v>
      </c>
      <c r="H169" t="s">
        <v>217</v>
      </c>
      <c r="I169" t="s">
        <v>501</v>
      </c>
      <c r="J169" t="s">
        <v>299</v>
      </c>
      <c r="K169" t="s">
        <v>59</v>
      </c>
      <c r="L169" t="s">
        <v>20</v>
      </c>
    </row>
    <row r="170" spans="1:12" x14ac:dyDescent="0.3">
      <c r="A170">
        <v>1486</v>
      </c>
      <c r="B170" t="s">
        <v>135</v>
      </c>
      <c r="C170">
        <v>24</v>
      </c>
      <c r="D170" t="s">
        <v>54</v>
      </c>
      <c r="E170" t="s">
        <v>120</v>
      </c>
      <c r="F170" t="s">
        <v>502</v>
      </c>
      <c r="G170" t="s">
        <v>140</v>
      </c>
      <c r="H170" t="s">
        <v>36</v>
      </c>
      <c r="I170" t="s">
        <v>503</v>
      </c>
      <c r="J170" t="s">
        <v>241</v>
      </c>
      <c r="K170" t="s">
        <v>52</v>
      </c>
      <c r="L170" t="s">
        <v>40</v>
      </c>
    </row>
    <row r="171" spans="1:12" x14ac:dyDescent="0.3">
      <c r="A171">
        <v>1060</v>
      </c>
      <c r="B171" t="s">
        <v>11</v>
      </c>
      <c r="C171" t="s">
        <v>96</v>
      </c>
      <c r="D171" t="s">
        <v>101</v>
      </c>
      <c r="E171" t="s">
        <v>13</v>
      </c>
      <c r="F171" t="s">
        <v>504</v>
      </c>
      <c r="G171" t="s">
        <v>49</v>
      </c>
      <c r="H171" t="s">
        <v>129</v>
      </c>
      <c r="I171" t="s">
        <v>505</v>
      </c>
      <c r="J171" t="s">
        <v>506</v>
      </c>
      <c r="K171" t="s">
        <v>59</v>
      </c>
      <c r="L171" t="s">
        <v>53</v>
      </c>
    </row>
    <row r="172" spans="1:12" x14ac:dyDescent="0.3">
      <c r="A172">
        <v>1321</v>
      </c>
      <c r="B172" t="s">
        <v>73</v>
      </c>
      <c r="C172" t="s">
        <v>96</v>
      </c>
      <c r="D172" t="s">
        <v>23</v>
      </c>
      <c r="E172" t="s">
        <v>166</v>
      </c>
      <c r="F172" t="s">
        <v>507</v>
      </c>
      <c r="G172" t="s">
        <v>15</v>
      </c>
      <c r="H172" t="s">
        <v>217</v>
      </c>
      <c r="I172" t="s">
        <v>268</v>
      </c>
      <c r="J172" t="s">
        <v>209</v>
      </c>
      <c r="K172" t="s">
        <v>52</v>
      </c>
      <c r="L172" t="s">
        <v>40</v>
      </c>
    </row>
    <row r="173" spans="1:12" x14ac:dyDescent="0.3">
      <c r="A173">
        <v>1372</v>
      </c>
      <c r="B173" t="s">
        <v>162</v>
      </c>
      <c r="C173">
        <v>22</v>
      </c>
      <c r="D173" t="s">
        <v>62</v>
      </c>
      <c r="E173" t="s">
        <v>79</v>
      </c>
      <c r="F173" t="s">
        <v>508</v>
      </c>
      <c r="G173" t="s">
        <v>85</v>
      </c>
      <c r="H173" t="s">
        <v>129</v>
      </c>
      <c r="I173" t="s">
        <v>509</v>
      </c>
      <c r="J173" t="s">
        <v>510</v>
      </c>
      <c r="K173" t="s">
        <v>59</v>
      </c>
      <c r="L173" t="s">
        <v>20</v>
      </c>
    </row>
    <row r="174" spans="1:12" x14ac:dyDescent="0.3">
      <c r="A174">
        <v>1254</v>
      </c>
      <c r="B174" t="s">
        <v>116</v>
      </c>
      <c r="C174">
        <v>22</v>
      </c>
      <c r="D174" t="s">
        <v>107</v>
      </c>
      <c r="E174" t="s">
        <v>166</v>
      </c>
      <c r="F174" t="s">
        <v>511</v>
      </c>
      <c r="G174" t="s">
        <v>35</v>
      </c>
      <c r="H174" t="s">
        <v>36</v>
      </c>
      <c r="I174" t="s">
        <v>473</v>
      </c>
      <c r="J174" t="s">
        <v>512</v>
      </c>
      <c r="K174" t="s">
        <v>95</v>
      </c>
      <c r="L174" t="s">
        <v>40</v>
      </c>
    </row>
    <row r="175" spans="1:12" x14ac:dyDescent="0.3">
      <c r="A175">
        <v>1460</v>
      </c>
      <c r="B175" t="s">
        <v>119</v>
      </c>
      <c r="C175">
        <v>18</v>
      </c>
      <c r="D175" t="s">
        <v>101</v>
      </c>
      <c r="E175" t="s">
        <v>155</v>
      </c>
      <c r="F175" t="s">
        <v>513</v>
      </c>
      <c r="G175" t="s">
        <v>140</v>
      </c>
      <c r="H175" t="s">
        <v>141</v>
      </c>
      <c r="I175" t="s">
        <v>260</v>
      </c>
      <c r="J175" t="s">
        <v>454</v>
      </c>
      <c r="K175" t="s">
        <v>32</v>
      </c>
      <c r="L175" t="s">
        <v>77</v>
      </c>
    </row>
    <row r="176" spans="1:12" x14ac:dyDescent="0.3">
      <c r="A176">
        <v>1323</v>
      </c>
      <c r="B176" t="s">
        <v>46</v>
      </c>
      <c r="C176">
        <v>19</v>
      </c>
      <c r="D176" t="s">
        <v>41</v>
      </c>
      <c r="E176" t="s">
        <v>33</v>
      </c>
      <c r="F176" t="s">
        <v>514</v>
      </c>
      <c r="G176" t="s">
        <v>22</v>
      </c>
      <c r="H176" t="s">
        <v>27</v>
      </c>
      <c r="I176" t="s">
        <v>515</v>
      </c>
      <c r="J176" t="s">
        <v>516</v>
      </c>
      <c r="K176" t="s">
        <v>52</v>
      </c>
      <c r="L176" t="s">
        <v>77</v>
      </c>
    </row>
    <row r="177" spans="1:12" x14ac:dyDescent="0.3">
      <c r="A177">
        <v>1300</v>
      </c>
      <c r="B177" t="s">
        <v>162</v>
      </c>
      <c r="C177" t="s">
        <v>61</v>
      </c>
      <c r="D177" t="s">
        <v>32</v>
      </c>
      <c r="E177" t="s">
        <v>47</v>
      </c>
      <c r="F177" t="s">
        <v>517</v>
      </c>
      <c r="G177" t="s">
        <v>26</v>
      </c>
      <c r="H177" t="s">
        <v>16</v>
      </c>
      <c r="I177" t="s">
        <v>418</v>
      </c>
      <c r="J177" t="s">
        <v>518</v>
      </c>
      <c r="K177" t="s">
        <v>52</v>
      </c>
      <c r="L177" t="s">
        <v>115</v>
      </c>
    </row>
    <row r="178" spans="1:12" x14ac:dyDescent="0.3">
      <c r="A178">
        <v>1307</v>
      </c>
      <c r="B178" t="s">
        <v>46</v>
      </c>
      <c r="C178">
        <v>18</v>
      </c>
      <c r="D178" t="s">
        <v>62</v>
      </c>
      <c r="E178" t="s">
        <v>33</v>
      </c>
      <c r="F178" t="s">
        <v>519</v>
      </c>
      <c r="G178" t="s">
        <v>49</v>
      </c>
      <c r="H178" t="s">
        <v>16</v>
      </c>
      <c r="I178" t="s">
        <v>165</v>
      </c>
      <c r="J178" t="s">
        <v>161</v>
      </c>
      <c r="K178" t="s">
        <v>59</v>
      </c>
      <c r="L178" t="s">
        <v>77</v>
      </c>
    </row>
    <row r="179" spans="1:12" x14ac:dyDescent="0.3">
      <c r="A179">
        <v>1135</v>
      </c>
      <c r="B179" t="s">
        <v>119</v>
      </c>
      <c r="C179">
        <v>25</v>
      </c>
      <c r="D179" t="s">
        <v>54</v>
      </c>
      <c r="E179" t="s">
        <v>120</v>
      </c>
      <c r="F179" t="s">
        <v>520</v>
      </c>
      <c r="G179" t="s">
        <v>15</v>
      </c>
      <c r="H179" t="s">
        <v>129</v>
      </c>
      <c r="I179" t="s">
        <v>268</v>
      </c>
      <c r="J179" t="s">
        <v>82</v>
      </c>
      <c r="K179" t="s">
        <v>95</v>
      </c>
      <c r="L179" t="s">
        <v>77</v>
      </c>
    </row>
    <row r="180" spans="1:12" x14ac:dyDescent="0.3">
      <c r="A180">
        <v>1486</v>
      </c>
      <c r="B180" t="s">
        <v>21</v>
      </c>
      <c r="C180" t="s">
        <v>127</v>
      </c>
      <c r="D180" t="s">
        <v>23</v>
      </c>
      <c r="E180" t="s">
        <v>63</v>
      </c>
      <c r="F180" t="s">
        <v>521</v>
      </c>
      <c r="G180" t="s">
        <v>26</v>
      </c>
      <c r="H180" t="s">
        <v>109</v>
      </c>
      <c r="I180" t="s">
        <v>212</v>
      </c>
      <c r="J180" t="s">
        <v>522</v>
      </c>
      <c r="K180" t="s">
        <v>32</v>
      </c>
      <c r="L180" t="s">
        <v>60</v>
      </c>
    </row>
    <row r="181" spans="1:12" x14ac:dyDescent="0.3">
      <c r="A181">
        <v>1088</v>
      </c>
      <c r="B181" t="s">
        <v>106</v>
      </c>
      <c r="C181">
        <v>23</v>
      </c>
      <c r="D181" t="s">
        <v>41</v>
      </c>
      <c r="E181" t="s">
        <v>13</v>
      </c>
      <c r="F181" t="s">
        <v>523</v>
      </c>
      <c r="G181" t="s">
        <v>140</v>
      </c>
      <c r="H181" t="s">
        <v>16</v>
      </c>
      <c r="I181" t="s">
        <v>244</v>
      </c>
      <c r="J181" t="s">
        <v>524</v>
      </c>
      <c r="K181" t="s">
        <v>95</v>
      </c>
      <c r="L181" t="s">
        <v>30</v>
      </c>
    </row>
    <row r="182" spans="1:12" x14ac:dyDescent="0.3">
      <c r="A182">
        <v>1454</v>
      </c>
      <c r="B182" t="s">
        <v>162</v>
      </c>
      <c r="C182">
        <v>22</v>
      </c>
      <c r="D182" t="s">
        <v>101</v>
      </c>
      <c r="E182" t="s">
        <v>24</v>
      </c>
      <c r="F182" t="s">
        <v>525</v>
      </c>
      <c r="G182" t="s">
        <v>140</v>
      </c>
      <c r="H182" t="s">
        <v>109</v>
      </c>
      <c r="I182" t="s">
        <v>169</v>
      </c>
      <c r="J182" t="s">
        <v>526</v>
      </c>
      <c r="K182" t="s">
        <v>19</v>
      </c>
      <c r="L182" t="s">
        <v>20</v>
      </c>
    </row>
    <row r="183" spans="1:12" x14ac:dyDescent="0.3">
      <c r="A183">
        <v>1141</v>
      </c>
      <c r="B183" t="s">
        <v>135</v>
      </c>
      <c r="C183">
        <v>25</v>
      </c>
      <c r="D183" t="s">
        <v>107</v>
      </c>
      <c r="E183" t="s">
        <v>47</v>
      </c>
      <c r="F183" t="s">
        <v>527</v>
      </c>
      <c r="G183" t="s">
        <v>49</v>
      </c>
      <c r="H183" t="s">
        <v>36</v>
      </c>
      <c r="I183" t="s">
        <v>197</v>
      </c>
      <c r="J183" t="s">
        <v>273</v>
      </c>
      <c r="K183" t="s">
        <v>19</v>
      </c>
      <c r="L183" t="s">
        <v>40</v>
      </c>
    </row>
    <row r="184" spans="1:12" x14ac:dyDescent="0.3">
      <c r="A184">
        <v>1412</v>
      </c>
      <c r="B184" t="s">
        <v>46</v>
      </c>
      <c r="C184">
        <v>20</v>
      </c>
      <c r="D184" t="s">
        <v>12</v>
      </c>
      <c r="E184" t="s">
        <v>83</v>
      </c>
      <c r="F184" t="s">
        <v>528</v>
      </c>
      <c r="G184" t="s">
        <v>22</v>
      </c>
      <c r="H184" t="s">
        <v>103</v>
      </c>
      <c r="I184" t="s">
        <v>37</v>
      </c>
      <c r="J184" t="s">
        <v>529</v>
      </c>
      <c r="K184" t="s">
        <v>32</v>
      </c>
      <c r="L184" t="s">
        <v>115</v>
      </c>
    </row>
    <row r="185" spans="1:12" x14ac:dyDescent="0.3">
      <c r="A185">
        <v>1364</v>
      </c>
      <c r="B185" t="s">
        <v>154</v>
      </c>
      <c r="C185">
        <v>21</v>
      </c>
      <c r="D185" t="s">
        <v>62</v>
      </c>
      <c r="E185" t="s">
        <v>79</v>
      </c>
      <c r="F185" t="s">
        <v>530</v>
      </c>
      <c r="G185" t="s">
        <v>26</v>
      </c>
      <c r="H185" t="s">
        <v>109</v>
      </c>
      <c r="I185" t="s">
        <v>434</v>
      </c>
      <c r="J185" t="s">
        <v>110</v>
      </c>
      <c r="K185" t="s">
        <v>32</v>
      </c>
      <c r="L185" t="s">
        <v>100</v>
      </c>
    </row>
    <row r="186" spans="1:12" x14ac:dyDescent="0.3">
      <c r="A186">
        <v>1319</v>
      </c>
      <c r="B186" t="s">
        <v>154</v>
      </c>
      <c r="C186">
        <v>23</v>
      </c>
      <c r="D186" t="s">
        <v>41</v>
      </c>
      <c r="E186" t="s">
        <v>33</v>
      </c>
      <c r="F186" t="s">
        <v>531</v>
      </c>
      <c r="G186" t="s">
        <v>56</v>
      </c>
      <c r="H186" t="s">
        <v>141</v>
      </c>
      <c r="I186" t="s">
        <v>322</v>
      </c>
      <c r="J186" t="s">
        <v>532</v>
      </c>
      <c r="K186" t="s">
        <v>32</v>
      </c>
      <c r="L186" t="s">
        <v>53</v>
      </c>
    </row>
    <row r="187" spans="1:12" x14ac:dyDescent="0.3">
      <c r="A187">
        <v>1340</v>
      </c>
      <c r="B187" t="s">
        <v>119</v>
      </c>
      <c r="C187">
        <v>23</v>
      </c>
      <c r="D187" t="s">
        <v>68</v>
      </c>
      <c r="E187" t="s">
        <v>83</v>
      </c>
      <c r="F187" t="s">
        <v>533</v>
      </c>
      <c r="G187" t="s">
        <v>85</v>
      </c>
      <c r="H187" t="s">
        <v>27</v>
      </c>
      <c r="I187" t="s">
        <v>534</v>
      </c>
      <c r="J187" t="s">
        <v>535</v>
      </c>
      <c r="K187" t="s">
        <v>32</v>
      </c>
      <c r="L187" t="s">
        <v>100</v>
      </c>
    </row>
    <row r="188" spans="1:12" x14ac:dyDescent="0.3">
      <c r="A188">
        <v>1420</v>
      </c>
      <c r="B188" t="s">
        <v>154</v>
      </c>
      <c r="C188">
        <v>22</v>
      </c>
      <c r="D188" t="s">
        <v>12</v>
      </c>
      <c r="E188" t="s">
        <v>79</v>
      </c>
      <c r="F188" t="s">
        <v>536</v>
      </c>
      <c r="G188" t="s">
        <v>35</v>
      </c>
      <c r="H188" t="s">
        <v>16</v>
      </c>
      <c r="I188" t="s">
        <v>537</v>
      </c>
      <c r="J188" t="s">
        <v>538</v>
      </c>
      <c r="K188" t="s">
        <v>39</v>
      </c>
      <c r="L188" t="s">
        <v>30</v>
      </c>
    </row>
    <row r="189" spans="1:12" x14ac:dyDescent="0.3">
      <c r="A189">
        <v>1119</v>
      </c>
      <c r="B189" t="s">
        <v>31</v>
      </c>
      <c r="C189">
        <v>20</v>
      </c>
      <c r="D189" t="s">
        <v>68</v>
      </c>
      <c r="E189" t="s">
        <v>24</v>
      </c>
      <c r="F189" t="s">
        <v>539</v>
      </c>
      <c r="G189" t="s">
        <v>15</v>
      </c>
      <c r="H189" t="s">
        <v>217</v>
      </c>
      <c r="I189" t="s">
        <v>540</v>
      </c>
      <c r="J189" t="s">
        <v>541</v>
      </c>
      <c r="K189" t="s">
        <v>19</v>
      </c>
      <c r="L189" t="s">
        <v>30</v>
      </c>
    </row>
    <row r="190" spans="1:12" x14ac:dyDescent="0.3">
      <c r="A190">
        <v>1496</v>
      </c>
      <c r="B190" t="s">
        <v>11</v>
      </c>
      <c r="C190">
        <v>24</v>
      </c>
      <c r="D190" t="s">
        <v>12</v>
      </c>
      <c r="E190" t="s">
        <v>42</v>
      </c>
      <c r="F190" t="s">
        <v>542</v>
      </c>
      <c r="G190" t="s">
        <v>35</v>
      </c>
      <c r="H190" t="s">
        <v>103</v>
      </c>
      <c r="I190" t="s">
        <v>543</v>
      </c>
      <c r="J190" t="s">
        <v>544</v>
      </c>
      <c r="K190" t="s">
        <v>52</v>
      </c>
      <c r="L190" t="s">
        <v>60</v>
      </c>
    </row>
    <row r="191" spans="1:12" x14ac:dyDescent="0.3">
      <c r="A191">
        <v>1480</v>
      </c>
      <c r="B191" t="s">
        <v>119</v>
      </c>
      <c r="C191" t="s">
        <v>61</v>
      </c>
      <c r="D191" t="s">
        <v>54</v>
      </c>
      <c r="E191" t="s">
        <v>155</v>
      </c>
      <c r="F191" t="s">
        <v>545</v>
      </c>
      <c r="G191" t="s">
        <v>140</v>
      </c>
      <c r="H191" t="s">
        <v>27</v>
      </c>
      <c r="I191" t="s">
        <v>546</v>
      </c>
      <c r="J191" t="s">
        <v>547</v>
      </c>
      <c r="K191" t="s">
        <v>59</v>
      </c>
      <c r="L191" t="s">
        <v>20</v>
      </c>
    </row>
    <row r="192" spans="1:12" x14ac:dyDescent="0.3">
      <c r="A192">
        <v>1377</v>
      </c>
      <c r="B192" t="s">
        <v>154</v>
      </c>
      <c r="C192">
        <v>25</v>
      </c>
      <c r="D192" t="s">
        <v>54</v>
      </c>
      <c r="E192" t="s">
        <v>47</v>
      </c>
      <c r="F192" t="s">
        <v>548</v>
      </c>
      <c r="G192" t="s">
        <v>35</v>
      </c>
      <c r="H192" t="s">
        <v>109</v>
      </c>
      <c r="I192" t="s">
        <v>549</v>
      </c>
      <c r="J192" t="s">
        <v>550</v>
      </c>
      <c r="K192" t="s">
        <v>39</v>
      </c>
      <c r="L192" t="s">
        <v>30</v>
      </c>
    </row>
    <row r="193" spans="1:12" x14ac:dyDescent="0.3">
      <c r="A193">
        <v>1424</v>
      </c>
      <c r="B193" t="s">
        <v>73</v>
      </c>
      <c r="C193" t="s">
        <v>61</v>
      </c>
      <c r="D193" t="s">
        <v>68</v>
      </c>
      <c r="E193" t="s">
        <v>13</v>
      </c>
      <c r="F193" t="s">
        <v>551</v>
      </c>
      <c r="G193" t="s">
        <v>26</v>
      </c>
      <c r="H193" t="s">
        <v>89</v>
      </c>
      <c r="I193" t="s">
        <v>90</v>
      </c>
      <c r="J193" t="s">
        <v>271</v>
      </c>
      <c r="K193" t="s">
        <v>19</v>
      </c>
      <c r="L193" t="s">
        <v>115</v>
      </c>
    </row>
    <row r="194" spans="1:12" x14ac:dyDescent="0.3">
      <c r="A194">
        <v>1472</v>
      </c>
      <c r="B194" t="s">
        <v>78</v>
      </c>
      <c r="C194">
        <v>22</v>
      </c>
      <c r="D194" t="s">
        <v>32</v>
      </c>
      <c r="E194" t="s">
        <v>79</v>
      </c>
      <c r="F194" t="s">
        <v>552</v>
      </c>
      <c r="G194" t="s">
        <v>140</v>
      </c>
      <c r="H194" t="s">
        <v>129</v>
      </c>
      <c r="I194" t="s">
        <v>192</v>
      </c>
      <c r="J194" t="s">
        <v>160</v>
      </c>
      <c r="K194" t="s">
        <v>19</v>
      </c>
      <c r="L194" t="s">
        <v>77</v>
      </c>
    </row>
    <row r="195" spans="1:12" x14ac:dyDescent="0.3">
      <c r="A195">
        <v>1372</v>
      </c>
      <c r="B195" t="s">
        <v>119</v>
      </c>
      <c r="D195" t="s">
        <v>101</v>
      </c>
      <c r="E195" t="s">
        <v>24</v>
      </c>
      <c r="F195" t="s">
        <v>553</v>
      </c>
      <c r="G195" t="s">
        <v>35</v>
      </c>
      <c r="H195" t="s">
        <v>103</v>
      </c>
      <c r="I195" t="s">
        <v>554</v>
      </c>
      <c r="J195" t="s">
        <v>555</v>
      </c>
      <c r="K195" t="s">
        <v>39</v>
      </c>
      <c r="L195" t="s">
        <v>77</v>
      </c>
    </row>
    <row r="196" spans="1:12" x14ac:dyDescent="0.3">
      <c r="A196">
        <v>1250</v>
      </c>
      <c r="B196" t="s">
        <v>46</v>
      </c>
      <c r="C196" t="s">
        <v>22</v>
      </c>
      <c r="D196" t="s">
        <v>62</v>
      </c>
      <c r="E196" t="s">
        <v>24</v>
      </c>
      <c r="F196" t="s">
        <v>556</v>
      </c>
      <c r="G196" t="s">
        <v>70</v>
      </c>
      <c r="H196" t="s">
        <v>217</v>
      </c>
      <c r="I196" t="s">
        <v>164</v>
      </c>
      <c r="J196" t="s">
        <v>307</v>
      </c>
      <c r="K196" t="s">
        <v>32</v>
      </c>
      <c r="L196" t="s">
        <v>53</v>
      </c>
    </row>
    <row r="197" spans="1:12" x14ac:dyDescent="0.3">
      <c r="A197">
        <v>1447</v>
      </c>
      <c r="B197" t="s">
        <v>78</v>
      </c>
      <c r="C197" t="s">
        <v>61</v>
      </c>
      <c r="D197" t="s">
        <v>62</v>
      </c>
      <c r="E197" t="s">
        <v>47</v>
      </c>
      <c r="F197" t="s">
        <v>557</v>
      </c>
      <c r="G197" t="s">
        <v>26</v>
      </c>
      <c r="H197" t="s">
        <v>89</v>
      </c>
      <c r="I197" t="s">
        <v>558</v>
      </c>
      <c r="J197" t="s">
        <v>559</v>
      </c>
      <c r="K197" t="s">
        <v>32</v>
      </c>
      <c r="L197" t="s">
        <v>60</v>
      </c>
    </row>
    <row r="198" spans="1:12" x14ac:dyDescent="0.3">
      <c r="A198">
        <v>1058</v>
      </c>
      <c r="B198" t="s">
        <v>31</v>
      </c>
      <c r="C198">
        <v>24</v>
      </c>
      <c r="D198" t="s">
        <v>101</v>
      </c>
      <c r="E198" t="s">
        <v>47</v>
      </c>
      <c r="F198" t="s">
        <v>560</v>
      </c>
      <c r="G198" t="s">
        <v>15</v>
      </c>
      <c r="H198" t="s">
        <v>103</v>
      </c>
      <c r="I198" t="s">
        <v>541</v>
      </c>
      <c r="J198" t="s">
        <v>561</v>
      </c>
      <c r="K198" t="s">
        <v>19</v>
      </c>
      <c r="L198" t="s">
        <v>100</v>
      </c>
    </row>
    <row r="199" spans="1:12" x14ac:dyDescent="0.3">
      <c r="A199">
        <v>1493</v>
      </c>
      <c r="B199" t="s">
        <v>73</v>
      </c>
      <c r="C199">
        <v>23</v>
      </c>
      <c r="D199" t="s">
        <v>68</v>
      </c>
      <c r="E199" t="s">
        <v>47</v>
      </c>
      <c r="F199" t="s">
        <v>562</v>
      </c>
      <c r="G199" t="s">
        <v>26</v>
      </c>
      <c r="H199" t="s">
        <v>103</v>
      </c>
      <c r="I199" t="s">
        <v>382</v>
      </c>
      <c r="J199" t="s">
        <v>413</v>
      </c>
      <c r="K199" t="s">
        <v>19</v>
      </c>
      <c r="L199" t="s">
        <v>60</v>
      </c>
    </row>
    <row r="200" spans="1:12" x14ac:dyDescent="0.3">
      <c r="A200">
        <v>1077</v>
      </c>
      <c r="B200" t="s">
        <v>119</v>
      </c>
      <c r="C200">
        <v>25</v>
      </c>
      <c r="D200" t="s">
        <v>23</v>
      </c>
      <c r="E200" t="s">
        <v>155</v>
      </c>
      <c r="F200" t="s">
        <v>563</v>
      </c>
      <c r="G200" t="s">
        <v>70</v>
      </c>
      <c r="H200" t="s">
        <v>109</v>
      </c>
      <c r="I200" t="s">
        <v>361</v>
      </c>
      <c r="J200" t="s">
        <v>37</v>
      </c>
      <c r="K200" t="s">
        <v>19</v>
      </c>
      <c r="L200" t="s">
        <v>77</v>
      </c>
    </row>
    <row r="201" spans="1:12" x14ac:dyDescent="0.3">
      <c r="A201">
        <v>1008</v>
      </c>
      <c r="B201" t="s">
        <v>11</v>
      </c>
      <c r="C201">
        <v>21</v>
      </c>
      <c r="D201" t="s">
        <v>23</v>
      </c>
      <c r="E201" t="s">
        <v>33</v>
      </c>
      <c r="F201" t="s">
        <v>564</v>
      </c>
      <c r="G201" t="s">
        <v>35</v>
      </c>
      <c r="H201" t="s">
        <v>36</v>
      </c>
      <c r="I201" t="s">
        <v>565</v>
      </c>
      <c r="J201" t="s">
        <v>212</v>
      </c>
      <c r="K201" t="s">
        <v>39</v>
      </c>
      <c r="L201" t="s">
        <v>115</v>
      </c>
    </row>
    <row r="202" spans="1:12" x14ac:dyDescent="0.3">
      <c r="A202">
        <v>1206</v>
      </c>
      <c r="B202" t="s">
        <v>31</v>
      </c>
      <c r="C202" t="s">
        <v>61</v>
      </c>
      <c r="D202" t="s">
        <v>101</v>
      </c>
      <c r="E202" t="s">
        <v>120</v>
      </c>
      <c r="F202" t="s">
        <v>566</v>
      </c>
      <c r="G202" t="s">
        <v>65</v>
      </c>
      <c r="H202" t="s">
        <v>89</v>
      </c>
      <c r="I202" t="s">
        <v>567</v>
      </c>
      <c r="J202" t="s">
        <v>526</v>
      </c>
      <c r="K202" t="s">
        <v>32</v>
      </c>
      <c r="L202" t="s">
        <v>77</v>
      </c>
    </row>
    <row r="203" spans="1:12" x14ac:dyDescent="0.3">
      <c r="A203">
        <v>1390</v>
      </c>
      <c r="B203" t="s">
        <v>106</v>
      </c>
      <c r="C203" t="s">
        <v>22</v>
      </c>
      <c r="D203" t="s">
        <v>62</v>
      </c>
      <c r="E203" t="s">
        <v>24</v>
      </c>
      <c r="F203" t="s">
        <v>568</v>
      </c>
      <c r="G203" t="s">
        <v>26</v>
      </c>
      <c r="H203" t="s">
        <v>27</v>
      </c>
      <c r="I203" t="s">
        <v>157</v>
      </c>
      <c r="J203" t="s">
        <v>276</v>
      </c>
      <c r="K203" t="s">
        <v>52</v>
      </c>
      <c r="L203" t="s">
        <v>100</v>
      </c>
    </row>
    <row r="204" spans="1:12" x14ac:dyDescent="0.3">
      <c r="A204">
        <v>1065</v>
      </c>
      <c r="B204" t="s">
        <v>31</v>
      </c>
      <c r="C204">
        <v>19</v>
      </c>
      <c r="D204" t="s">
        <v>68</v>
      </c>
      <c r="E204" t="s">
        <v>13</v>
      </c>
      <c r="F204" t="s">
        <v>569</v>
      </c>
      <c r="G204" t="s">
        <v>35</v>
      </c>
      <c r="H204" t="s">
        <v>217</v>
      </c>
      <c r="I204" t="s">
        <v>570</v>
      </c>
      <c r="J204" t="s">
        <v>287</v>
      </c>
      <c r="K204" t="s">
        <v>39</v>
      </c>
      <c r="L204" t="s">
        <v>77</v>
      </c>
    </row>
    <row r="205" spans="1:12" x14ac:dyDescent="0.3">
      <c r="A205">
        <v>1222</v>
      </c>
      <c r="B205" t="s">
        <v>135</v>
      </c>
      <c r="C205">
        <v>21</v>
      </c>
      <c r="D205" t="s">
        <v>12</v>
      </c>
      <c r="E205" t="s">
        <v>166</v>
      </c>
      <c r="F205" t="s">
        <v>571</v>
      </c>
      <c r="G205" t="s">
        <v>15</v>
      </c>
      <c r="H205" t="s">
        <v>109</v>
      </c>
      <c r="I205" t="s">
        <v>572</v>
      </c>
      <c r="J205" t="s">
        <v>57</v>
      </c>
      <c r="K205" t="s">
        <v>39</v>
      </c>
      <c r="L205" t="s">
        <v>115</v>
      </c>
    </row>
    <row r="206" spans="1:12" x14ac:dyDescent="0.3">
      <c r="A206">
        <v>1198</v>
      </c>
      <c r="B206" t="s">
        <v>116</v>
      </c>
      <c r="C206" t="s">
        <v>61</v>
      </c>
      <c r="D206" t="s">
        <v>107</v>
      </c>
      <c r="E206" t="s">
        <v>155</v>
      </c>
      <c r="F206" t="s">
        <v>573</v>
      </c>
      <c r="G206" t="s">
        <v>85</v>
      </c>
      <c r="H206" t="s">
        <v>89</v>
      </c>
      <c r="I206" t="s">
        <v>574</v>
      </c>
      <c r="J206" t="s">
        <v>161</v>
      </c>
      <c r="K206" t="s">
        <v>19</v>
      </c>
      <c r="L206" t="s">
        <v>53</v>
      </c>
    </row>
    <row r="207" spans="1:12" x14ac:dyDescent="0.3">
      <c r="A207">
        <v>1040</v>
      </c>
      <c r="B207" t="s">
        <v>119</v>
      </c>
      <c r="C207">
        <v>21</v>
      </c>
      <c r="D207" t="s">
        <v>107</v>
      </c>
      <c r="E207" t="s">
        <v>79</v>
      </c>
      <c r="F207" t="s">
        <v>575</v>
      </c>
      <c r="G207" t="s">
        <v>15</v>
      </c>
      <c r="H207" t="s">
        <v>36</v>
      </c>
      <c r="I207" t="s">
        <v>576</v>
      </c>
      <c r="J207" t="s">
        <v>577</v>
      </c>
      <c r="K207" t="s">
        <v>52</v>
      </c>
      <c r="L207" t="s">
        <v>115</v>
      </c>
    </row>
    <row r="208" spans="1:12" x14ac:dyDescent="0.3">
      <c r="A208">
        <v>1375</v>
      </c>
      <c r="B208" t="s">
        <v>73</v>
      </c>
      <c r="C208" t="s">
        <v>96</v>
      </c>
      <c r="D208" t="s">
        <v>41</v>
      </c>
      <c r="E208" t="s">
        <v>33</v>
      </c>
      <c r="F208" t="s">
        <v>578</v>
      </c>
      <c r="G208" t="s">
        <v>22</v>
      </c>
      <c r="H208" t="s">
        <v>217</v>
      </c>
      <c r="I208" t="s">
        <v>579</v>
      </c>
      <c r="J208" t="s">
        <v>324</v>
      </c>
      <c r="K208" t="s">
        <v>59</v>
      </c>
      <c r="L208" t="s">
        <v>77</v>
      </c>
    </row>
    <row r="209" spans="1:12" x14ac:dyDescent="0.3">
      <c r="A209">
        <v>1458</v>
      </c>
      <c r="B209" t="s">
        <v>21</v>
      </c>
      <c r="C209">
        <v>21</v>
      </c>
      <c r="D209" t="s">
        <v>12</v>
      </c>
      <c r="E209" t="s">
        <v>24</v>
      </c>
      <c r="F209" t="s">
        <v>580</v>
      </c>
      <c r="G209" t="s">
        <v>85</v>
      </c>
      <c r="H209" t="s">
        <v>109</v>
      </c>
      <c r="I209" t="s">
        <v>581</v>
      </c>
      <c r="J209" t="s">
        <v>223</v>
      </c>
      <c r="K209" t="s">
        <v>32</v>
      </c>
      <c r="L209" t="s">
        <v>53</v>
      </c>
    </row>
    <row r="210" spans="1:12" x14ac:dyDescent="0.3">
      <c r="A210">
        <v>1076</v>
      </c>
      <c r="B210" t="s">
        <v>21</v>
      </c>
      <c r="C210">
        <v>23</v>
      </c>
      <c r="D210" t="s">
        <v>54</v>
      </c>
      <c r="E210" t="s">
        <v>47</v>
      </c>
      <c r="F210" t="s">
        <v>582</v>
      </c>
      <c r="G210" t="s">
        <v>35</v>
      </c>
      <c r="H210" t="s">
        <v>217</v>
      </c>
      <c r="I210" t="s">
        <v>99</v>
      </c>
      <c r="J210" t="s">
        <v>450</v>
      </c>
      <c r="K210" t="s">
        <v>32</v>
      </c>
      <c r="L210" t="s">
        <v>40</v>
      </c>
    </row>
    <row r="211" spans="1:12" x14ac:dyDescent="0.3">
      <c r="A211">
        <v>1460</v>
      </c>
      <c r="B211" t="s">
        <v>31</v>
      </c>
      <c r="C211" t="s">
        <v>127</v>
      </c>
      <c r="D211" t="s">
        <v>32</v>
      </c>
      <c r="E211" t="s">
        <v>79</v>
      </c>
      <c r="F211" t="s">
        <v>583</v>
      </c>
      <c r="G211" t="s">
        <v>85</v>
      </c>
      <c r="H211" t="s">
        <v>89</v>
      </c>
      <c r="I211" t="s">
        <v>584</v>
      </c>
      <c r="J211" t="s">
        <v>413</v>
      </c>
      <c r="K211" t="s">
        <v>32</v>
      </c>
      <c r="L211" t="s">
        <v>20</v>
      </c>
    </row>
    <row r="212" spans="1:12" x14ac:dyDescent="0.3">
      <c r="A212">
        <v>1153</v>
      </c>
      <c r="B212" t="s">
        <v>162</v>
      </c>
      <c r="D212" t="s">
        <v>41</v>
      </c>
      <c r="E212" t="s">
        <v>166</v>
      </c>
      <c r="F212" t="s">
        <v>585</v>
      </c>
      <c r="G212" t="s">
        <v>49</v>
      </c>
      <c r="H212" t="s">
        <v>16</v>
      </c>
      <c r="I212" t="s">
        <v>144</v>
      </c>
      <c r="J212" t="s">
        <v>586</v>
      </c>
      <c r="K212" t="s">
        <v>95</v>
      </c>
      <c r="L212" t="s">
        <v>115</v>
      </c>
    </row>
    <row r="213" spans="1:12" x14ac:dyDescent="0.3">
      <c r="A213">
        <v>1490</v>
      </c>
      <c r="B213" t="s">
        <v>119</v>
      </c>
      <c r="C213">
        <v>24</v>
      </c>
      <c r="D213" t="s">
        <v>54</v>
      </c>
      <c r="E213" t="s">
        <v>83</v>
      </c>
      <c r="F213" t="s">
        <v>587</v>
      </c>
      <c r="G213" t="s">
        <v>15</v>
      </c>
      <c r="H213" t="s">
        <v>36</v>
      </c>
      <c r="I213" t="s">
        <v>567</v>
      </c>
      <c r="J213" t="s">
        <v>588</v>
      </c>
      <c r="K213" t="s">
        <v>59</v>
      </c>
      <c r="L213" t="s">
        <v>115</v>
      </c>
    </row>
    <row r="214" spans="1:12" x14ac:dyDescent="0.3">
      <c r="A214">
        <v>1123</v>
      </c>
      <c r="B214" t="s">
        <v>11</v>
      </c>
      <c r="C214">
        <v>25</v>
      </c>
      <c r="D214" t="s">
        <v>32</v>
      </c>
      <c r="E214" t="s">
        <v>83</v>
      </c>
      <c r="F214" t="s">
        <v>589</v>
      </c>
      <c r="G214" t="s">
        <v>22</v>
      </c>
      <c r="H214" t="s">
        <v>129</v>
      </c>
      <c r="I214" t="s">
        <v>468</v>
      </c>
      <c r="J214" t="s">
        <v>436</v>
      </c>
      <c r="K214" t="s">
        <v>19</v>
      </c>
      <c r="L214" t="s">
        <v>100</v>
      </c>
    </row>
    <row r="215" spans="1:12" x14ac:dyDescent="0.3">
      <c r="A215">
        <v>1497</v>
      </c>
      <c r="B215" t="s">
        <v>162</v>
      </c>
      <c r="C215">
        <v>24</v>
      </c>
      <c r="D215" t="s">
        <v>101</v>
      </c>
      <c r="E215" t="s">
        <v>120</v>
      </c>
      <c r="F215" t="s">
        <v>590</v>
      </c>
      <c r="G215" t="s">
        <v>35</v>
      </c>
      <c r="H215" t="s">
        <v>103</v>
      </c>
      <c r="I215" t="s">
        <v>591</v>
      </c>
      <c r="J215" t="s">
        <v>592</v>
      </c>
      <c r="K215" t="s">
        <v>59</v>
      </c>
      <c r="L215" t="s">
        <v>40</v>
      </c>
    </row>
    <row r="216" spans="1:12" x14ac:dyDescent="0.3">
      <c r="A216">
        <v>1135</v>
      </c>
      <c r="B216" t="s">
        <v>73</v>
      </c>
      <c r="C216">
        <v>23</v>
      </c>
      <c r="D216" t="s">
        <v>41</v>
      </c>
      <c r="E216" t="s">
        <v>42</v>
      </c>
      <c r="F216" t="s">
        <v>593</v>
      </c>
      <c r="G216" t="s">
        <v>85</v>
      </c>
      <c r="H216" t="s">
        <v>103</v>
      </c>
      <c r="I216" t="s">
        <v>252</v>
      </c>
      <c r="J216" t="s">
        <v>594</v>
      </c>
      <c r="K216" t="s">
        <v>52</v>
      </c>
      <c r="L216" t="s">
        <v>100</v>
      </c>
    </row>
    <row r="217" spans="1:12" x14ac:dyDescent="0.3">
      <c r="A217">
        <v>1269</v>
      </c>
      <c r="B217" t="s">
        <v>106</v>
      </c>
      <c r="C217">
        <v>25</v>
      </c>
      <c r="D217" t="s">
        <v>54</v>
      </c>
      <c r="E217" t="s">
        <v>79</v>
      </c>
      <c r="F217" t="s">
        <v>595</v>
      </c>
      <c r="G217" t="s">
        <v>140</v>
      </c>
      <c r="H217" t="s">
        <v>27</v>
      </c>
      <c r="I217" t="s">
        <v>596</v>
      </c>
      <c r="J217" t="s">
        <v>160</v>
      </c>
      <c r="K217" t="s">
        <v>52</v>
      </c>
      <c r="L217" t="s">
        <v>30</v>
      </c>
    </row>
    <row r="218" spans="1:12" x14ac:dyDescent="0.3">
      <c r="A218">
        <v>1428</v>
      </c>
      <c r="B218" t="s">
        <v>46</v>
      </c>
      <c r="C218">
        <v>19</v>
      </c>
      <c r="D218" t="s">
        <v>101</v>
      </c>
      <c r="E218" t="s">
        <v>33</v>
      </c>
      <c r="F218" t="s">
        <v>597</v>
      </c>
      <c r="G218" t="s">
        <v>35</v>
      </c>
      <c r="H218" t="s">
        <v>36</v>
      </c>
      <c r="I218" t="s">
        <v>126</v>
      </c>
      <c r="J218" t="s">
        <v>598</v>
      </c>
      <c r="K218" t="s">
        <v>19</v>
      </c>
      <c r="L218" t="s">
        <v>100</v>
      </c>
    </row>
    <row r="219" spans="1:12" x14ac:dyDescent="0.3">
      <c r="A219">
        <v>1251</v>
      </c>
      <c r="B219" t="s">
        <v>119</v>
      </c>
      <c r="C219">
        <v>19</v>
      </c>
      <c r="D219" t="s">
        <v>101</v>
      </c>
      <c r="E219" t="s">
        <v>83</v>
      </c>
      <c r="F219" t="s">
        <v>599</v>
      </c>
      <c r="G219" t="s">
        <v>65</v>
      </c>
      <c r="H219" t="s">
        <v>103</v>
      </c>
      <c r="I219" t="s">
        <v>600</v>
      </c>
      <c r="J219" t="s">
        <v>601</v>
      </c>
      <c r="K219" t="s">
        <v>52</v>
      </c>
      <c r="L219" t="s">
        <v>100</v>
      </c>
    </row>
    <row r="220" spans="1:12" x14ac:dyDescent="0.3">
      <c r="A220">
        <v>1257</v>
      </c>
      <c r="B220" t="s">
        <v>135</v>
      </c>
      <c r="C220">
        <v>24</v>
      </c>
      <c r="D220" t="s">
        <v>12</v>
      </c>
      <c r="E220" t="s">
        <v>47</v>
      </c>
      <c r="F220" t="s">
        <v>602</v>
      </c>
      <c r="G220" t="s">
        <v>140</v>
      </c>
      <c r="H220" t="s">
        <v>16</v>
      </c>
      <c r="I220" t="s">
        <v>603</v>
      </c>
      <c r="J220" t="s">
        <v>375</v>
      </c>
      <c r="K220" t="s">
        <v>19</v>
      </c>
      <c r="L220" t="s">
        <v>30</v>
      </c>
    </row>
    <row r="221" spans="1:12" x14ac:dyDescent="0.3">
      <c r="A221">
        <v>1247</v>
      </c>
      <c r="B221" t="s">
        <v>21</v>
      </c>
      <c r="C221">
        <v>24</v>
      </c>
      <c r="D221" t="s">
        <v>32</v>
      </c>
      <c r="E221" t="s">
        <v>33</v>
      </c>
      <c r="F221" t="s">
        <v>604</v>
      </c>
      <c r="G221" t="s">
        <v>140</v>
      </c>
      <c r="H221" t="s">
        <v>217</v>
      </c>
      <c r="I221" t="s">
        <v>157</v>
      </c>
      <c r="J221" t="s">
        <v>29</v>
      </c>
      <c r="K221" t="s">
        <v>19</v>
      </c>
      <c r="L221" t="s">
        <v>40</v>
      </c>
    </row>
    <row r="222" spans="1:12" x14ac:dyDescent="0.3">
      <c r="A222">
        <v>1169</v>
      </c>
      <c r="B222" t="s">
        <v>135</v>
      </c>
      <c r="C222">
        <v>22</v>
      </c>
      <c r="D222" t="s">
        <v>101</v>
      </c>
      <c r="E222" t="s">
        <v>166</v>
      </c>
      <c r="F222" t="s">
        <v>605</v>
      </c>
      <c r="G222" t="s">
        <v>26</v>
      </c>
      <c r="H222" t="s">
        <v>109</v>
      </c>
      <c r="I222" t="s">
        <v>606</v>
      </c>
      <c r="J222" t="s">
        <v>215</v>
      </c>
      <c r="K222" t="s">
        <v>39</v>
      </c>
      <c r="L222" t="s">
        <v>60</v>
      </c>
    </row>
    <row r="223" spans="1:12" x14ac:dyDescent="0.3">
      <c r="A223">
        <v>1206</v>
      </c>
      <c r="B223" t="s">
        <v>78</v>
      </c>
      <c r="C223" t="s">
        <v>61</v>
      </c>
      <c r="D223" t="s">
        <v>32</v>
      </c>
      <c r="E223" t="s">
        <v>42</v>
      </c>
      <c r="F223" t="s">
        <v>607</v>
      </c>
      <c r="G223" t="s">
        <v>85</v>
      </c>
      <c r="H223" t="s">
        <v>36</v>
      </c>
      <c r="I223" t="s">
        <v>567</v>
      </c>
      <c r="J223" t="s">
        <v>608</v>
      </c>
      <c r="K223" t="s">
        <v>32</v>
      </c>
      <c r="L223" t="s">
        <v>100</v>
      </c>
    </row>
    <row r="224" spans="1:12" x14ac:dyDescent="0.3">
      <c r="A224">
        <v>1440</v>
      </c>
      <c r="B224" t="s">
        <v>46</v>
      </c>
      <c r="C224">
        <v>18</v>
      </c>
      <c r="D224" t="s">
        <v>23</v>
      </c>
      <c r="E224" t="s">
        <v>13</v>
      </c>
      <c r="F224" t="s">
        <v>609</v>
      </c>
      <c r="G224" t="s">
        <v>70</v>
      </c>
      <c r="H224" t="s">
        <v>27</v>
      </c>
      <c r="I224" t="s">
        <v>610</v>
      </c>
      <c r="J224" t="s">
        <v>592</v>
      </c>
      <c r="K224" t="s">
        <v>59</v>
      </c>
      <c r="L224" t="s">
        <v>77</v>
      </c>
    </row>
    <row r="225" spans="1:12" x14ac:dyDescent="0.3">
      <c r="A225">
        <v>1471</v>
      </c>
      <c r="B225" t="s">
        <v>106</v>
      </c>
      <c r="C225" t="s">
        <v>22</v>
      </c>
      <c r="D225" t="s">
        <v>41</v>
      </c>
      <c r="E225" t="s">
        <v>63</v>
      </c>
      <c r="F225" t="s">
        <v>611</v>
      </c>
      <c r="G225" t="s">
        <v>15</v>
      </c>
      <c r="H225" t="s">
        <v>103</v>
      </c>
      <c r="I225" t="s">
        <v>402</v>
      </c>
      <c r="J225" t="s">
        <v>612</v>
      </c>
      <c r="K225" t="s">
        <v>39</v>
      </c>
      <c r="L225" t="s">
        <v>115</v>
      </c>
    </row>
    <row r="226" spans="1:12" x14ac:dyDescent="0.3">
      <c r="A226">
        <v>1063</v>
      </c>
      <c r="B226" t="s">
        <v>162</v>
      </c>
      <c r="C226" t="s">
        <v>61</v>
      </c>
      <c r="D226" t="s">
        <v>54</v>
      </c>
      <c r="E226" t="s">
        <v>47</v>
      </c>
      <c r="F226" t="s">
        <v>613</v>
      </c>
      <c r="G226" t="s">
        <v>15</v>
      </c>
      <c r="H226" t="s">
        <v>109</v>
      </c>
      <c r="I226" t="s">
        <v>289</v>
      </c>
      <c r="J226" t="s">
        <v>187</v>
      </c>
      <c r="K226" t="s">
        <v>19</v>
      </c>
      <c r="L226" t="s">
        <v>30</v>
      </c>
    </row>
    <row r="227" spans="1:12" x14ac:dyDescent="0.3">
      <c r="A227">
        <v>1481</v>
      </c>
      <c r="B227" t="s">
        <v>21</v>
      </c>
      <c r="C227">
        <v>21</v>
      </c>
      <c r="D227" t="s">
        <v>68</v>
      </c>
      <c r="E227" t="s">
        <v>166</v>
      </c>
      <c r="F227" t="s">
        <v>614</v>
      </c>
      <c r="G227" t="s">
        <v>35</v>
      </c>
      <c r="H227" t="s">
        <v>89</v>
      </c>
      <c r="I227" t="s">
        <v>150</v>
      </c>
      <c r="J227" t="s">
        <v>550</v>
      </c>
      <c r="K227" t="s">
        <v>95</v>
      </c>
      <c r="L227" t="s">
        <v>20</v>
      </c>
    </row>
    <row r="228" spans="1:12" x14ac:dyDescent="0.3">
      <c r="A228">
        <v>1003</v>
      </c>
      <c r="B228" t="s">
        <v>119</v>
      </c>
      <c r="C228" t="s">
        <v>96</v>
      </c>
      <c r="D228" t="s">
        <v>62</v>
      </c>
      <c r="E228" t="s">
        <v>33</v>
      </c>
      <c r="F228" t="s">
        <v>615</v>
      </c>
      <c r="G228" t="s">
        <v>140</v>
      </c>
      <c r="H228" t="s">
        <v>141</v>
      </c>
      <c r="I228" t="s">
        <v>337</v>
      </c>
      <c r="J228" t="s">
        <v>608</v>
      </c>
      <c r="K228" t="s">
        <v>95</v>
      </c>
      <c r="L228" t="s">
        <v>53</v>
      </c>
    </row>
    <row r="229" spans="1:12" x14ac:dyDescent="0.3">
      <c r="A229">
        <v>1017</v>
      </c>
      <c r="B229" t="s">
        <v>78</v>
      </c>
      <c r="C229">
        <v>23</v>
      </c>
      <c r="D229" t="s">
        <v>12</v>
      </c>
      <c r="E229" t="s">
        <v>24</v>
      </c>
      <c r="F229" t="s">
        <v>616</v>
      </c>
      <c r="G229" t="s">
        <v>22</v>
      </c>
      <c r="H229" t="s">
        <v>75</v>
      </c>
      <c r="I229" t="s">
        <v>436</v>
      </c>
      <c r="J229" t="s">
        <v>617</v>
      </c>
      <c r="K229" t="s">
        <v>19</v>
      </c>
      <c r="L229" t="s">
        <v>20</v>
      </c>
    </row>
    <row r="230" spans="1:12" x14ac:dyDescent="0.3">
      <c r="A230">
        <v>1088</v>
      </c>
      <c r="B230" t="s">
        <v>162</v>
      </c>
      <c r="C230">
        <v>21</v>
      </c>
      <c r="D230" t="s">
        <v>54</v>
      </c>
      <c r="E230" t="s">
        <v>79</v>
      </c>
      <c r="F230" t="s">
        <v>618</v>
      </c>
      <c r="G230" t="s">
        <v>49</v>
      </c>
      <c r="H230" t="s">
        <v>75</v>
      </c>
      <c r="I230" t="s">
        <v>227</v>
      </c>
      <c r="J230" t="s">
        <v>249</v>
      </c>
      <c r="K230" t="s">
        <v>95</v>
      </c>
      <c r="L230" t="s">
        <v>40</v>
      </c>
    </row>
    <row r="231" spans="1:12" x14ac:dyDescent="0.3">
      <c r="A231">
        <v>1238</v>
      </c>
      <c r="B231" t="s">
        <v>106</v>
      </c>
      <c r="C231">
        <v>21</v>
      </c>
      <c r="D231" t="s">
        <v>41</v>
      </c>
      <c r="E231" t="s">
        <v>24</v>
      </c>
      <c r="F231" t="s">
        <v>619</v>
      </c>
      <c r="G231" t="s">
        <v>26</v>
      </c>
      <c r="H231" t="s">
        <v>129</v>
      </c>
      <c r="I231" t="s">
        <v>620</v>
      </c>
      <c r="J231" t="s">
        <v>621</v>
      </c>
      <c r="K231" t="s">
        <v>59</v>
      </c>
      <c r="L231" t="s">
        <v>40</v>
      </c>
    </row>
    <row r="232" spans="1:12" x14ac:dyDescent="0.3">
      <c r="A232">
        <v>1215</v>
      </c>
      <c r="B232" t="s">
        <v>31</v>
      </c>
      <c r="C232" t="s">
        <v>96</v>
      </c>
      <c r="D232" t="s">
        <v>107</v>
      </c>
      <c r="E232" t="s">
        <v>155</v>
      </c>
      <c r="F232" t="s">
        <v>622</v>
      </c>
      <c r="G232" t="s">
        <v>15</v>
      </c>
      <c r="H232" t="s">
        <v>141</v>
      </c>
      <c r="I232" t="s">
        <v>51</v>
      </c>
      <c r="J232" t="s">
        <v>348</v>
      </c>
      <c r="K232" t="s">
        <v>39</v>
      </c>
      <c r="L232" t="s">
        <v>30</v>
      </c>
    </row>
    <row r="233" spans="1:12" x14ac:dyDescent="0.3">
      <c r="A233">
        <v>1197</v>
      </c>
      <c r="B233" t="s">
        <v>21</v>
      </c>
      <c r="C233">
        <v>25</v>
      </c>
      <c r="D233" t="s">
        <v>101</v>
      </c>
      <c r="E233" t="s">
        <v>120</v>
      </c>
      <c r="F233" t="s">
        <v>623</v>
      </c>
      <c r="G233" t="s">
        <v>85</v>
      </c>
      <c r="H233" t="s">
        <v>75</v>
      </c>
      <c r="I233" t="s">
        <v>515</v>
      </c>
      <c r="J233" t="s">
        <v>454</v>
      </c>
      <c r="K233" t="s">
        <v>59</v>
      </c>
      <c r="L233" t="s">
        <v>20</v>
      </c>
    </row>
    <row r="234" spans="1:12" x14ac:dyDescent="0.3">
      <c r="A234">
        <v>1097</v>
      </c>
      <c r="B234" t="s">
        <v>21</v>
      </c>
      <c r="C234">
        <v>18</v>
      </c>
      <c r="D234" t="s">
        <v>54</v>
      </c>
      <c r="E234" t="s">
        <v>63</v>
      </c>
      <c r="F234" t="s">
        <v>624</v>
      </c>
      <c r="G234" t="s">
        <v>15</v>
      </c>
      <c r="H234" t="s">
        <v>129</v>
      </c>
      <c r="I234" t="s">
        <v>415</v>
      </c>
      <c r="J234" t="s">
        <v>430</v>
      </c>
      <c r="K234" t="s">
        <v>52</v>
      </c>
      <c r="L234" t="s">
        <v>77</v>
      </c>
    </row>
    <row r="235" spans="1:12" x14ac:dyDescent="0.3">
      <c r="A235">
        <v>1050</v>
      </c>
      <c r="B235" t="s">
        <v>135</v>
      </c>
      <c r="C235">
        <v>19</v>
      </c>
      <c r="D235" t="s">
        <v>101</v>
      </c>
      <c r="E235" t="s">
        <v>120</v>
      </c>
      <c r="F235" t="s">
        <v>625</v>
      </c>
      <c r="G235" t="s">
        <v>26</v>
      </c>
      <c r="H235" t="s">
        <v>89</v>
      </c>
      <c r="I235" t="s">
        <v>456</v>
      </c>
      <c r="J235" t="s">
        <v>291</v>
      </c>
      <c r="K235" t="s">
        <v>39</v>
      </c>
      <c r="L235" t="s">
        <v>115</v>
      </c>
    </row>
    <row r="236" spans="1:12" x14ac:dyDescent="0.3">
      <c r="A236">
        <v>1357</v>
      </c>
      <c r="B236" t="s">
        <v>116</v>
      </c>
      <c r="C236">
        <v>25</v>
      </c>
      <c r="D236" t="s">
        <v>62</v>
      </c>
      <c r="E236" t="s">
        <v>63</v>
      </c>
      <c r="F236" t="s">
        <v>626</v>
      </c>
      <c r="G236" t="s">
        <v>49</v>
      </c>
      <c r="H236" t="s">
        <v>75</v>
      </c>
      <c r="I236" t="s">
        <v>627</v>
      </c>
      <c r="J236" t="s">
        <v>628</v>
      </c>
      <c r="K236" t="s">
        <v>32</v>
      </c>
      <c r="L236" t="s">
        <v>77</v>
      </c>
    </row>
    <row r="237" spans="1:12" x14ac:dyDescent="0.3">
      <c r="A237">
        <v>1130</v>
      </c>
      <c r="B237" t="s">
        <v>21</v>
      </c>
      <c r="C237">
        <v>20</v>
      </c>
      <c r="D237" t="s">
        <v>68</v>
      </c>
      <c r="E237" t="s">
        <v>33</v>
      </c>
      <c r="F237" t="s">
        <v>629</v>
      </c>
      <c r="G237" t="s">
        <v>70</v>
      </c>
      <c r="H237" t="s">
        <v>36</v>
      </c>
      <c r="I237" t="s">
        <v>282</v>
      </c>
      <c r="J237" t="s">
        <v>630</v>
      </c>
      <c r="K237" t="s">
        <v>39</v>
      </c>
      <c r="L237" t="s">
        <v>20</v>
      </c>
    </row>
    <row r="238" spans="1:12" x14ac:dyDescent="0.3">
      <c r="A238">
        <v>1146</v>
      </c>
      <c r="B238" t="s">
        <v>31</v>
      </c>
      <c r="C238">
        <v>21</v>
      </c>
      <c r="D238" t="s">
        <v>41</v>
      </c>
      <c r="E238" t="s">
        <v>24</v>
      </c>
      <c r="F238" t="s">
        <v>631</v>
      </c>
      <c r="G238" t="s">
        <v>35</v>
      </c>
      <c r="H238" t="s">
        <v>27</v>
      </c>
      <c r="I238" t="s">
        <v>565</v>
      </c>
      <c r="J238" t="s">
        <v>37</v>
      </c>
      <c r="K238" t="s">
        <v>59</v>
      </c>
      <c r="L238" t="s">
        <v>53</v>
      </c>
    </row>
    <row r="239" spans="1:12" x14ac:dyDescent="0.3">
      <c r="A239">
        <v>1302</v>
      </c>
      <c r="B239" t="s">
        <v>73</v>
      </c>
      <c r="C239">
        <v>23</v>
      </c>
      <c r="D239" t="s">
        <v>101</v>
      </c>
      <c r="E239" t="s">
        <v>33</v>
      </c>
      <c r="F239" t="s">
        <v>632</v>
      </c>
      <c r="G239" t="s">
        <v>65</v>
      </c>
      <c r="H239" t="s">
        <v>217</v>
      </c>
      <c r="I239" t="s">
        <v>633</v>
      </c>
      <c r="J239" t="s">
        <v>292</v>
      </c>
      <c r="K239" t="s">
        <v>39</v>
      </c>
      <c r="L239" t="s">
        <v>20</v>
      </c>
    </row>
    <row r="240" spans="1:12" x14ac:dyDescent="0.3">
      <c r="A240">
        <v>1045</v>
      </c>
      <c r="B240" t="s">
        <v>78</v>
      </c>
      <c r="C240" t="s">
        <v>127</v>
      </c>
      <c r="D240" t="s">
        <v>107</v>
      </c>
      <c r="E240" t="s">
        <v>155</v>
      </c>
      <c r="F240" t="s">
        <v>634</v>
      </c>
      <c r="G240" t="s">
        <v>65</v>
      </c>
      <c r="H240" t="s">
        <v>16</v>
      </c>
      <c r="I240" t="s">
        <v>334</v>
      </c>
      <c r="J240" t="s">
        <v>635</v>
      </c>
      <c r="K240" t="s">
        <v>32</v>
      </c>
      <c r="L240" t="s">
        <v>115</v>
      </c>
    </row>
    <row r="241" spans="1:12" x14ac:dyDescent="0.3">
      <c r="A241">
        <v>1441</v>
      </c>
      <c r="B241" t="s">
        <v>154</v>
      </c>
      <c r="C241">
        <v>23</v>
      </c>
      <c r="D241" t="s">
        <v>41</v>
      </c>
      <c r="E241" t="s">
        <v>24</v>
      </c>
      <c r="F241" t="s">
        <v>636</v>
      </c>
      <c r="G241" t="s">
        <v>70</v>
      </c>
      <c r="H241" t="s">
        <v>109</v>
      </c>
      <c r="I241" t="s">
        <v>180</v>
      </c>
      <c r="J241" t="s">
        <v>72</v>
      </c>
      <c r="K241" t="s">
        <v>19</v>
      </c>
      <c r="L241" t="s">
        <v>30</v>
      </c>
    </row>
    <row r="242" spans="1:12" x14ac:dyDescent="0.3">
      <c r="A242">
        <v>1419</v>
      </c>
      <c r="B242" t="s">
        <v>119</v>
      </c>
      <c r="C242">
        <v>18</v>
      </c>
      <c r="D242" t="s">
        <v>54</v>
      </c>
      <c r="E242" t="s">
        <v>24</v>
      </c>
      <c r="F242" t="s">
        <v>637</v>
      </c>
      <c r="G242" t="s">
        <v>56</v>
      </c>
      <c r="H242" t="s">
        <v>217</v>
      </c>
      <c r="I242" t="s">
        <v>235</v>
      </c>
      <c r="J242" t="s">
        <v>638</v>
      </c>
      <c r="K242" t="s">
        <v>32</v>
      </c>
      <c r="L242" t="s">
        <v>30</v>
      </c>
    </row>
    <row r="243" spans="1:12" x14ac:dyDescent="0.3">
      <c r="A243">
        <v>1018</v>
      </c>
      <c r="B243" t="s">
        <v>119</v>
      </c>
      <c r="C243">
        <v>20</v>
      </c>
      <c r="D243" t="s">
        <v>23</v>
      </c>
      <c r="E243" t="s">
        <v>33</v>
      </c>
      <c r="F243" t="s">
        <v>639</v>
      </c>
      <c r="G243" t="s">
        <v>65</v>
      </c>
      <c r="H243" t="s">
        <v>109</v>
      </c>
      <c r="I243" t="s">
        <v>640</v>
      </c>
      <c r="J243" t="s">
        <v>183</v>
      </c>
      <c r="K243" t="s">
        <v>59</v>
      </c>
      <c r="L243" t="s">
        <v>115</v>
      </c>
    </row>
    <row r="244" spans="1:12" x14ac:dyDescent="0.3">
      <c r="A244">
        <v>1475</v>
      </c>
      <c r="B244" t="s">
        <v>78</v>
      </c>
      <c r="C244">
        <v>23</v>
      </c>
      <c r="D244" t="s">
        <v>12</v>
      </c>
      <c r="E244" t="s">
        <v>13</v>
      </c>
      <c r="F244" t="s">
        <v>641</v>
      </c>
      <c r="G244" t="s">
        <v>140</v>
      </c>
      <c r="H244" t="s">
        <v>103</v>
      </c>
      <c r="I244" t="s">
        <v>642</v>
      </c>
      <c r="J244" t="s">
        <v>327</v>
      </c>
      <c r="K244" t="s">
        <v>32</v>
      </c>
      <c r="L244" t="s">
        <v>53</v>
      </c>
    </row>
    <row r="245" spans="1:12" x14ac:dyDescent="0.3">
      <c r="A245">
        <v>1174</v>
      </c>
      <c r="B245" t="s">
        <v>78</v>
      </c>
      <c r="C245" t="s">
        <v>127</v>
      </c>
      <c r="D245" t="s">
        <v>107</v>
      </c>
      <c r="E245" t="s">
        <v>47</v>
      </c>
      <c r="F245" t="s">
        <v>643</v>
      </c>
      <c r="G245" t="s">
        <v>22</v>
      </c>
      <c r="H245" t="s">
        <v>141</v>
      </c>
      <c r="I245" t="s">
        <v>45</v>
      </c>
      <c r="J245" t="s">
        <v>644</v>
      </c>
      <c r="K245" t="s">
        <v>95</v>
      </c>
      <c r="L245" t="s">
        <v>40</v>
      </c>
    </row>
    <row r="246" spans="1:12" x14ac:dyDescent="0.3">
      <c r="A246">
        <v>1438</v>
      </c>
      <c r="B246" t="s">
        <v>11</v>
      </c>
      <c r="C246" t="s">
        <v>96</v>
      </c>
      <c r="D246" t="s">
        <v>32</v>
      </c>
      <c r="E246" t="s">
        <v>79</v>
      </c>
      <c r="F246" t="s">
        <v>645</v>
      </c>
      <c r="G246" t="s">
        <v>70</v>
      </c>
      <c r="H246" t="s">
        <v>217</v>
      </c>
      <c r="I246" t="s">
        <v>646</v>
      </c>
      <c r="J246" t="s">
        <v>647</v>
      </c>
      <c r="K246" t="s">
        <v>59</v>
      </c>
      <c r="L246" t="s">
        <v>53</v>
      </c>
    </row>
    <row r="247" spans="1:12" x14ac:dyDescent="0.3">
      <c r="A247">
        <v>1073</v>
      </c>
      <c r="B247" t="s">
        <v>106</v>
      </c>
      <c r="C247" t="s">
        <v>61</v>
      </c>
      <c r="D247" t="s">
        <v>101</v>
      </c>
      <c r="E247" t="s">
        <v>33</v>
      </c>
      <c r="F247" t="s">
        <v>648</v>
      </c>
      <c r="G247" t="s">
        <v>35</v>
      </c>
      <c r="H247" t="s">
        <v>217</v>
      </c>
      <c r="I247" t="s">
        <v>649</v>
      </c>
      <c r="J247" t="s">
        <v>477</v>
      </c>
      <c r="K247" t="s">
        <v>32</v>
      </c>
      <c r="L247" t="s">
        <v>40</v>
      </c>
    </row>
    <row r="248" spans="1:12" x14ac:dyDescent="0.3">
      <c r="A248">
        <v>1465</v>
      </c>
      <c r="B248" t="s">
        <v>46</v>
      </c>
      <c r="C248">
        <v>25</v>
      </c>
      <c r="D248" t="s">
        <v>32</v>
      </c>
      <c r="E248" t="s">
        <v>166</v>
      </c>
      <c r="F248" t="s">
        <v>650</v>
      </c>
      <c r="G248" t="s">
        <v>26</v>
      </c>
      <c r="H248" t="s">
        <v>89</v>
      </c>
      <c r="I248" t="s">
        <v>369</v>
      </c>
      <c r="J248" t="s">
        <v>302</v>
      </c>
      <c r="K248" t="s">
        <v>32</v>
      </c>
      <c r="L248" t="s">
        <v>77</v>
      </c>
    </row>
    <row r="249" spans="1:12" x14ac:dyDescent="0.3">
      <c r="A249">
        <v>1062</v>
      </c>
      <c r="B249" t="s">
        <v>106</v>
      </c>
      <c r="C249" t="s">
        <v>61</v>
      </c>
      <c r="D249" t="s">
        <v>68</v>
      </c>
      <c r="E249" t="s">
        <v>33</v>
      </c>
      <c r="F249" t="s">
        <v>651</v>
      </c>
      <c r="G249" t="s">
        <v>140</v>
      </c>
      <c r="H249" t="s">
        <v>109</v>
      </c>
      <c r="I249" t="s">
        <v>652</v>
      </c>
      <c r="J249" t="s">
        <v>249</v>
      </c>
      <c r="K249" t="s">
        <v>95</v>
      </c>
      <c r="L249" t="s">
        <v>20</v>
      </c>
    </row>
    <row r="250" spans="1:12" x14ac:dyDescent="0.3">
      <c r="A250">
        <v>1195</v>
      </c>
      <c r="B250" t="s">
        <v>106</v>
      </c>
      <c r="C250">
        <v>25</v>
      </c>
      <c r="D250" t="s">
        <v>62</v>
      </c>
      <c r="E250" t="s">
        <v>83</v>
      </c>
      <c r="F250" t="s">
        <v>653</v>
      </c>
      <c r="G250" t="s">
        <v>70</v>
      </c>
      <c r="H250" t="s">
        <v>129</v>
      </c>
      <c r="I250" t="s">
        <v>328</v>
      </c>
      <c r="J250" t="s">
        <v>152</v>
      </c>
      <c r="K250" t="s">
        <v>59</v>
      </c>
      <c r="L250" t="s">
        <v>60</v>
      </c>
    </row>
    <row r="251" spans="1:12" x14ac:dyDescent="0.3">
      <c r="A251">
        <v>1139</v>
      </c>
      <c r="B251" t="s">
        <v>154</v>
      </c>
      <c r="C251">
        <v>22</v>
      </c>
      <c r="D251" t="s">
        <v>54</v>
      </c>
      <c r="E251" t="s">
        <v>13</v>
      </c>
      <c r="F251" t="s">
        <v>654</v>
      </c>
      <c r="G251" t="s">
        <v>56</v>
      </c>
      <c r="H251" t="s">
        <v>89</v>
      </c>
      <c r="I251" t="s">
        <v>635</v>
      </c>
      <c r="J251" t="s">
        <v>356</v>
      </c>
      <c r="K251" t="s">
        <v>19</v>
      </c>
      <c r="L251" t="s">
        <v>53</v>
      </c>
    </row>
    <row r="252" spans="1:12" x14ac:dyDescent="0.3">
      <c r="A252">
        <v>1365</v>
      </c>
      <c r="B252" t="s">
        <v>11</v>
      </c>
      <c r="C252">
        <v>20</v>
      </c>
      <c r="D252" t="s">
        <v>12</v>
      </c>
      <c r="E252" t="s">
        <v>13</v>
      </c>
      <c r="F252" t="s">
        <v>14</v>
      </c>
      <c r="G252" t="s">
        <v>15</v>
      </c>
      <c r="H252" t="s">
        <v>16</v>
      </c>
      <c r="I252" t="s">
        <v>17</v>
      </c>
      <c r="J252" t="s">
        <v>18</v>
      </c>
      <c r="K252" t="s">
        <v>19</v>
      </c>
      <c r="L252" t="s">
        <v>20</v>
      </c>
    </row>
    <row r="253" spans="1:12" x14ac:dyDescent="0.3">
      <c r="A253">
        <v>1382</v>
      </c>
      <c r="B253" t="s">
        <v>21</v>
      </c>
      <c r="C253" t="s">
        <v>22</v>
      </c>
      <c r="D253" t="s">
        <v>23</v>
      </c>
      <c r="E253" t="s">
        <v>24</v>
      </c>
      <c r="F253" t="s">
        <v>25</v>
      </c>
      <c r="G253" t="s">
        <v>26</v>
      </c>
      <c r="H253" t="s">
        <v>27</v>
      </c>
      <c r="I253" t="s">
        <v>28</v>
      </c>
      <c r="J253" t="s">
        <v>29</v>
      </c>
      <c r="K253" t="s">
        <v>19</v>
      </c>
      <c r="L253" t="s">
        <v>30</v>
      </c>
    </row>
    <row r="254" spans="1:12" x14ac:dyDescent="0.3">
      <c r="A254">
        <v>1322</v>
      </c>
      <c r="B254" t="s">
        <v>31</v>
      </c>
      <c r="C254">
        <v>25</v>
      </c>
      <c r="D254" t="s">
        <v>32</v>
      </c>
      <c r="E254" t="s">
        <v>33</v>
      </c>
      <c r="F254" t="s">
        <v>34</v>
      </c>
      <c r="G254" t="s">
        <v>35</v>
      </c>
      <c r="H254" t="s">
        <v>36</v>
      </c>
      <c r="I254" t="s">
        <v>37</v>
      </c>
      <c r="J254" t="s">
        <v>38</v>
      </c>
      <c r="K254" t="s">
        <v>39</v>
      </c>
      <c r="L254" t="s">
        <v>40</v>
      </c>
    </row>
    <row r="255" spans="1:12" x14ac:dyDescent="0.3">
      <c r="A255">
        <v>1476</v>
      </c>
      <c r="B255" t="s">
        <v>11</v>
      </c>
      <c r="C255">
        <v>21</v>
      </c>
      <c r="D255" t="s">
        <v>41</v>
      </c>
      <c r="E255" t="s">
        <v>42</v>
      </c>
      <c r="F255" t="s">
        <v>43</v>
      </c>
      <c r="G255" t="s">
        <v>22</v>
      </c>
      <c r="H255" t="s">
        <v>16</v>
      </c>
      <c r="I255" t="s">
        <v>44</v>
      </c>
      <c r="J255" t="s">
        <v>45</v>
      </c>
      <c r="K255" t="s">
        <v>32</v>
      </c>
      <c r="L255" t="s">
        <v>40</v>
      </c>
    </row>
    <row r="256" spans="1:12" x14ac:dyDescent="0.3">
      <c r="A256">
        <v>1098</v>
      </c>
      <c r="B256" t="s">
        <v>46</v>
      </c>
      <c r="C256">
        <v>19</v>
      </c>
      <c r="D256" t="s">
        <v>32</v>
      </c>
      <c r="E256" t="s">
        <v>47</v>
      </c>
      <c r="F256" t="s">
        <v>48</v>
      </c>
      <c r="G256" t="s">
        <v>49</v>
      </c>
      <c r="H256" t="s">
        <v>16</v>
      </c>
      <c r="I256" t="s">
        <v>50</v>
      </c>
      <c r="J256" t="s">
        <v>51</v>
      </c>
      <c r="K256" t="s">
        <v>52</v>
      </c>
      <c r="L256" t="s">
        <v>53</v>
      </c>
    </row>
    <row r="257" spans="1:12" x14ac:dyDescent="0.3">
      <c r="A257">
        <v>1230</v>
      </c>
      <c r="B257" t="s">
        <v>11</v>
      </c>
      <c r="C257">
        <v>21</v>
      </c>
      <c r="D257" t="s">
        <v>54</v>
      </c>
      <c r="E257" t="s">
        <v>42</v>
      </c>
      <c r="F257" t="s">
        <v>55</v>
      </c>
      <c r="G257" t="s">
        <v>56</v>
      </c>
      <c r="H257" t="s">
        <v>16</v>
      </c>
      <c r="I257" t="s">
        <v>57</v>
      </c>
      <c r="J257" t="s">
        <v>58</v>
      </c>
      <c r="K257" t="s">
        <v>59</v>
      </c>
      <c r="L257" t="s">
        <v>60</v>
      </c>
    </row>
    <row r="258" spans="1:12" x14ac:dyDescent="0.3">
      <c r="A258">
        <v>1017</v>
      </c>
      <c r="B258" t="s">
        <v>11</v>
      </c>
      <c r="C258" t="s">
        <v>61</v>
      </c>
      <c r="D258" t="s">
        <v>62</v>
      </c>
      <c r="E258" t="s">
        <v>63</v>
      </c>
      <c r="F258" t="s">
        <v>64</v>
      </c>
      <c r="G258" t="s">
        <v>65</v>
      </c>
      <c r="H258" t="s">
        <v>36</v>
      </c>
      <c r="I258" t="s">
        <v>66</v>
      </c>
      <c r="J258" t="s">
        <v>67</v>
      </c>
      <c r="K258" t="s">
        <v>52</v>
      </c>
      <c r="L258" t="s">
        <v>20</v>
      </c>
    </row>
    <row r="259" spans="1:12" x14ac:dyDescent="0.3">
      <c r="A259">
        <v>1083</v>
      </c>
      <c r="B259" t="s">
        <v>31</v>
      </c>
      <c r="C259">
        <v>21</v>
      </c>
      <c r="D259" t="s">
        <v>68</v>
      </c>
      <c r="E259" t="s">
        <v>47</v>
      </c>
      <c r="F259" t="s">
        <v>69</v>
      </c>
      <c r="G259" t="s">
        <v>70</v>
      </c>
      <c r="H259" t="s">
        <v>36</v>
      </c>
      <c r="I259" t="s">
        <v>71</v>
      </c>
      <c r="J259" t="s">
        <v>72</v>
      </c>
      <c r="K259" t="s">
        <v>32</v>
      </c>
      <c r="L259" t="s">
        <v>30</v>
      </c>
    </row>
    <row r="260" spans="1:12" x14ac:dyDescent="0.3">
      <c r="A260">
        <v>1106</v>
      </c>
      <c r="B260" t="s">
        <v>73</v>
      </c>
      <c r="C260">
        <v>24</v>
      </c>
      <c r="D260" t="s">
        <v>23</v>
      </c>
      <c r="E260" t="s">
        <v>33</v>
      </c>
      <c r="F260" t="s">
        <v>74</v>
      </c>
      <c r="G260" t="s">
        <v>70</v>
      </c>
      <c r="H260" t="s">
        <v>75</v>
      </c>
      <c r="I260" t="s">
        <v>76</v>
      </c>
      <c r="J260" t="s">
        <v>66</v>
      </c>
      <c r="K260" t="s">
        <v>39</v>
      </c>
      <c r="L260" t="s">
        <v>77</v>
      </c>
    </row>
    <row r="261" spans="1:12" x14ac:dyDescent="0.3">
      <c r="A261">
        <v>1123</v>
      </c>
      <c r="B261" t="s">
        <v>78</v>
      </c>
      <c r="C261">
        <v>20</v>
      </c>
      <c r="D261" t="s">
        <v>41</v>
      </c>
      <c r="E261" t="s">
        <v>79</v>
      </c>
      <c r="F261" t="s">
        <v>80</v>
      </c>
      <c r="G261" t="s">
        <v>70</v>
      </c>
      <c r="H261" t="s">
        <v>16</v>
      </c>
      <c r="I261" t="s">
        <v>81</v>
      </c>
      <c r="J261" t="s">
        <v>82</v>
      </c>
      <c r="K261" t="s">
        <v>52</v>
      </c>
      <c r="L261" t="s">
        <v>40</v>
      </c>
    </row>
    <row r="262" spans="1:12" x14ac:dyDescent="0.3">
      <c r="A262">
        <v>1057</v>
      </c>
      <c r="B262" t="s">
        <v>31</v>
      </c>
      <c r="C262">
        <v>21</v>
      </c>
      <c r="D262" t="s">
        <v>62</v>
      </c>
      <c r="E262" t="s">
        <v>83</v>
      </c>
      <c r="F262" t="s">
        <v>84</v>
      </c>
      <c r="G262" t="s">
        <v>85</v>
      </c>
      <c r="H262" t="s">
        <v>75</v>
      </c>
      <c r="I262" t="s">
        <v>86</v>
      </c>
      <c r="J262" t="s">
        <v>87</v>
      </c>
      <c r="K262" t="s">
        <v>52</v>
      </c>
      <c r="L262" t="s">
        <v>20</v>
      </c>
    </row>
    <row r="263" spans="1:12" x14ac:dyDescent="0.3">
      <c r="A263">
        <v>1214</v>
      </c>
      <c r="B263" t="s">
        <v>78</v>
      </c>
      <c r="C263">
        <v>19</v>
      </c>
      <c r="D263" t="s">
        <v>41</v>
      </c>
      <c r="E263" t="s">
        <v>83</v>
      </c>
      <c r="F263" t="s">
        <v>88</v>
      </c>
      <c r="G263" t="s">
        <v>22</v>
      </c>
      <c r="H263" t="s">
        <v>89</v>
      </c>
      <c r="I263" t="s">
        <v>90</v>
      </c>
      <c r="J263" t="s">
        <v>91</v>
      </c>
      <c r="K263" t="s">
        <v>39</v>
      </c>
      <c r="L263" t="s">
        <v>53</v>
      </c>
    </row>
    <row r="264" spans="1:12" x14ac:dyDescent="0.3">
      <c r="A264">
        <v>1225</v>
      </c>
      <c r="B264" t="s">
        <v>31</v>
      </c>
      <c r="C264" t="s">
        <v>61</v>
      </c>
      <c r="D264" t="s">
        <v>12</v>
      </c>
      <c r="E264" t="s">
        <v>24</v>
      </c>
      <c r="F264" t="s">
        <v>92</v>
      </c>
      <c r="G264" t="s">
        <v>65</v>
      </c>
      <c r="H264" t="s">
        <v>36</v>
      </c>
      <c r="I264" t="s">
        <v>93</v>
      </c>
      <c r="J264" t="s">
        <v>94</v>
      </c>
      <c r="K264" t="s">
        <v>95</v>
      </c>
      <c r="L264" t="s">
        <v>20</v>
      </c>
    </row>
    <row r="265" spans="1:12" x14ac:dyDescent="0.3">
      <c r="A265">
        <v>1096</v>
      </c>
      <c r="B265" t="s">
        <v>46</v>
      </c>
      <c r="C265" t="s">
        <v>96</v>
      </c>
      <c r="D265" t="s">
        <v>41</v>
      </c>
      <c r="E265" t="s">
        <v>24</v>
      </c>
      <c r="F265" t="s">
        <v>97</v>
      </c>
      <c r="G265" t="s">
        <v>65</v>
      </c>
      <c r="H265" t="s">
        <v>89</v>
      </c>
      <c r="I265" t="s">
        <v>98</v>
      </c>
      <c r="J265" t="s">
        <v>99</v>
      </c>
      <c r="K265" t="s">
        <v>95</v>
      </c>
      <c r="L265" t="s">
        <v>100</v>
      </c>
    </row>
    <row r="266" spans="1:12" x14ac:dyDescent="0.3">
      <c r="A266">
        <v>1113</v>
      </c>
      <c r="B266" t="s">
        <v>46</v>
      </c>
      <c r="C266">
        <v>18</v>
      </c>
      <c r="D266" t="s">
        <v>101</v>
      </c>
      <c r="E266" t="s">
        <v>42</v>
      </c>
      <c r="F266" t="s">
        <v>102</v>
      </c>
      <c r="G266" t="s">
        <v>49</v>
      </c>
      <c r="H266" t="s">
        <v>103</v>
      </c>
      <c r="I266" t="s">
        <v>104</v>
      </c>
      <c r="J266" t="s">
        <v>105</v>
      </c>
      <c r="K266" t="s">
        <v>32</v>
      </c>
      <c r="L266" t="s">
        <v>60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42E8F-03BA-444B-8311-3F438DFDB0F9}">
  <dimension ref="A1:O266"/>
  <sheetViews>
    <sheetView tabSelected="1" topLeftCell="E1" workbookViewId="0">
      <selection activeCell="M13" sqref="M13"/>
    </sheetView>
  </sheetViews>
  <sheetFormatPr defaultRowHeight="14.4" x14ac:dyDescent="0.3"/>
  <cols>
    <col min="1" max="1" width="5.77734375" customWidth="1"/>
    <col min="2" max="2" width="14.33203125" bestFit="1" customWidth="1"/>
    <col min="3" max="3" width="10.5546875" style="3" bestFit="1" customWidth="1"/>
    <col min="4" max="4" width="11.5546875" bestFit="1" customWidth="1"/>
    <col min="5" max="5" width="14" bestFit="1" customWidth="1"/>
    <col min="6" max="6" width="22.21875" style="5" bestFit="1" customWidth="1"/>
    <col min="7" max="7" width="21.77734375" style="3" bestFit="1" customWidth="1"/>
    <col min="8" max="8" width="23.109375" bestFit="1" customWidth="1"/>
    <col min="9" max="9" width="13.6640625" style="8" bestFit="1" customWidth="1"/>
    <col min="10" max="10" width="22.5546875" style="8" bestFit="1" customWidth="1"/>
    <col min="11" max="11" width="18.77734375" bestFit="1" customWidth="1"/>
    <col min="12" max="12" width="12.6640625" bestFit="1" customWidth="1"/>
    <col min="13" max="13" width="28.21875" bestFit="1" customWidth="1"/>
    <col min="14" max="14" width="13" bestFit="1" customWidth="1"/>
    <col min="15" max="15" width="14.88671875" style="3" bestFit="1" customWidth="1"/>
  </cols>
  <sheetData>
    <row r="1" spans="1:15" x14ac:dyDescent="0.3">
      <c r="A1" s="2" t="s">
        <v>655</v>
      </c>
      <c r="B1" s="1" t="s">
        <v>0</v>
      </c>
      <c r="C1" s="4" t="s">
        <v>1</v>
      </c>
      <c r="D1" s="1" t="s">
        <v>2</v>
      </c>
      <c r="E1" s="1" t="s">
        <v>3</v>
      </c>
      <c r="F1" s="2" t="s">
        <v>4</v>
      </c>
      <c r="G1" s="4" t="s">
        <v>5</v>
      </c>
      <c r="H1" s="1" t="s">
        <v>6</v>
      </c>
      <c r="I1" s="7" t="s">
        <v>7</v>
      </c>
      <c r="J1" s="7" t="s">
        <v>8</v>
      </c>
      <c r="K1" s="1" t="s">
        <v>9</v>
      </c>
      <c r="L1" s="1" t="s">
        <v>10</v>
      </c>
      <c r="M1" s="2" t="s">
        <v>921</v>
      </c>
      <c r="N1" s="2" t="s">
        <v>922</v>
      </c>
      <c r="O1" s="11" t="s">
        <v>923</v>
      </c>
    </row>
    <row r="2" spans="1:15" x14ac:dyDescent="0.3">
      <c r="A2">
        <v>1365</v>
      </c>
      <c r="B2" t="s">
        <v>11</v>
      </c>
      <c r="C2" s="3">
        <v>22</v>
      </c>
      <c r="D2" t="s">
        <v>54</v>
      </c>
      <c r="E2" t="s">
        <v>166</v>
      </c>
      <c r="F2" s="5" t="s">
        <v>743</v>
      </c>
      <c r="G2" s="3" t="s">
        <v>15</v>
      </c>
      <c r="H2" t="s">
        <v>16</v>
      </c>
      <c r="I2" s="8">
        <v>45379</v>
      </c>
      <c r="J2" s="8">
        <v>45506</v>
      </c>
      <c r="K2" t="s">
        <v>19</v>
      </c>
      <c r="L2" t="s">
        <v>915</v>
      </c>
      <c r="M2">
        <f t="shared" ref="M2:M65" si="0">J2-I2</f>
        <v>127</v>
      </c>
      <c r="N2" s="9">
        <f t="shared" ref="N2:N65" si="1">IF(K2="Active", 1, 0)</f>
        <v>0</v>
      </c>
      <c r="O2" s="10" t="str">
        <f t="shared" ref="O2:O65" si="2">IF(C2&lt;=25, "18-25", IF(C2&lt;=35, "26-35", IF(C2&lt;=50, "36-50", "51+")))</f>
        <v>18-25</v>
      </c>
    </row>
    <row r="3" spans="1:15" x14ac:dyDescent="0.3">
      <c r="A3">
        <v>1382</v>
      </c>
      <c r="B3" t="s">
        <v>21</v>
      </c>
      <c r="C3" s="3">
        <v>22</v>
      </c>
      <c r="D3" t="s">
        <v>23</v>
      </c>
      <c r="E3" t="s">
        <v>24</v>
      </c>
      <c r="F3" s="5" t="s">
        <v>744</v>
      </c>
      <c r="G3" s="3">
        <v>5</v>
      </c>
      <c r="H3" t="s">
        <v>27</v>
      </c>
      <c r="I3" s="8">
        <v>45439</v>
      </c>
      <c r="J3" s="8">
        <v>45413</v>
      </c>
      <c r="K3" t="s">
        <v>19</v>
      </c>
      <c r="L3" t="s">
        <v>914</v>
      </c>
      <c r="M3">
        <f t="shared" si="0"/>
        <v>-26</v>
      </c>
      <c r="N3" s="9">
        <f t="shared" si="1"/>
        <v>0</v>
      </c>
      <c r="O3" s="10" t="str">
        <f t="shared" si="2"/>
        <v>18-25</v>
      </c>
    </row>
    <row r="4" spans="1:15" x14ac:dyDescent="0.3">
      <c r="A4">
        <v>1322</v>
      </c>
      <c r="B4" t="s">
        <v>11</v>
      </c>
      <c r="C4" s="3">
        <v>25</v>
      </c>
      <c r="D4" t="s">
        <v>661</v>
      </c>
      <c r="E4" t="s">
        <v>155</v>
      </c>
      <c r="F4" s="6" t="s">
        <v>865</v>
      </c>
      <c r="G4" s="3" t="s">
        <v>35</v>
      </c>
      <c r="H4" t="s">
        <v>912</v>
      </c>
      <c r="I4" s="8">
        <v>45354</v>
      </c>
      <c r="J4" s="8">
        <v>45628</v>
      </c>
      <c r="K4" t="s">
        <v>39</v>
      </c>
      <c r="L4" t="s">
        <v>916</v>
      </c>
      <c r="M4">
        <f t="shared" si="0"/>
        <v>274</v>
      </c>
      <c r="N4" s="9">
        <f t="shared" si="1"/>
        <v>1</v>
      </c>
      <c r="O4" s="10" t="str">
        <f t="shared" si="2"/>
        <v>18-25</v>
      </c>
    </row>
    <row r="5" spans="1:15" x14ac:dyDescent="0.3">
      <c r="A5">
        <v>1476</v>
      </c>
      <c r="B5" t="s">
        <v>11</v>
      </c>
      <c r="C5" s="3">
        <v>21</v>
      </c>
      <c r="D5" t="s">
        <v>54</v>
      </c>
      <c r="E5" t="s">
        <v>24</v>
      </c>
      <c r="F5" s="5" t="s">
        <v>745</v>
      </c>
      <c r="G5" s="3">
        <v>1</v>
      </c>
      <c r="H5" t="s">
        <v>16</v>
      </c>
      <c r="I5" s="8">
        <v>45426</v>
      </c>
      <c r="J5" s="8">
        <v>45390</v>
      </c>
      <c r="K5" t="s">
        <v>68</v>
      </c>
      <c r="L5" t="s">
        <v>916</v>
      </c>
      <c r="M5">
        <f t="shared" si="0"/>
        <v>-36</v>
      </c>
      <c r="N5" s="9">
        <f t="shared" si="1"/>
        <v>0</v>
      </c>
      <c r="O5" s="10" t="str">
        <f t="shared" si="2"/>
        <v>18-25</v>
      </c>
    </row>
    <row r="6" spans="1:15" x14ac:dyDescent="0.3">
      <c r="A6">
        <v>1098</v>
      </c>
      <c r="B6" t="s">
        <v>657</v>
      </c>
      <c r="C6" s="3">
        <v>19</v>
      </c>
      <c r="D6" t="s">
        <v>661</v>
      </c>
      <c r="E6" t="s">
        <v>24</v>
      </c>
      <c r="F6" s="6" t="s">
        <v>746</v>
      </c>
      <c r="G6" s="3" t="s">
        <v>49</v>
      </c>
      <c r="H6" t="s">
        <v>16</v>
      </c>
      <c r="I6" s="8">
        <v>45536</v>
      </c>
      <c r="J6" s="8">
        <v>45319</v>
      </c>
      <c r="K6" t="s">
        <v>39</v>
      </c>
      <c r="L6" t="s">
        <v>917</v>
      </c>
      <c r="M6">
        <f t="shared" si="0"/>
        <v>-217</v>
      </c>
      <c r="N6" s="9">
        <f t="shared" si="1"/>
        <v>1</v>
      </c>
      <c r="O6" s="10" t="str">
        <f t="shared" si="2"/>
        <v>18-25</v>
      </c>
    </row>
    <row r="7" spans="1:15" x14ac:dyDescent="0.3">
      <c r="A7">
        <v>1230</v>
      </c>
      <c r="B7" t="s">
        <v>658</v>
      </c>
      <c r="C7" s="3">
        <v>21</v>
      </c>
      <c r="D7" t="s">
        <v>54</v>
      </c>
      <c r="E7" t="s">
        <v>24</v>
      </c>
      <c r="F7" s="6" t="s">
        <v>747</v>
      </c>
      <c r="G7" s="3">
        <v>5</v>
      </c>
      <c r="H7" t="s">
        <v>16</v>
      </c>
      <c r="I7" s="8">
        <v>45370</v>
      </c>
      <c r="J7" s="8">
        <v>45399</v>
      </c>
      <c r="K7" t="s">
        <v>39</v>
      </c>
      <c r="L7" t="s">
        <v>919</v>
      </c>
      <c r="M7">
        <f t="shared" si="0"/>
        <v>29</v>
      </c>
      <c r="N7" s="9">
        <f t="shared" si="1"/>
        <v>1</v>
      </c>
      <c r="O7" s="10" t="str">
        <f t="shared" si="2"/>
        <v>18-25</v>
      </c>
    </row>
    <row r="8" spans="1:15" x14ac:dyDescent="0.3">
      <c r="A8">
        <v>1017</v>
      </c>
      <c r="B8" t="s">
        <v>11</v>
      </c>
      <c r="C8" s="3">
        <v>22</v>
      </c>
      <c r="D8" t="s">
        <v>23</v>
      </c>
      <c r="E8" t="s">
        <v>83</v>
      </c>
      <c r="F8" s="5" t="s">
        <v>662</v>
      </c>
      <c r="G8" s="3" t="s">
        <v>65</v>
      </c>
      <c r="H8" t="s">
        <v>912</v>
      </c>
      <c r="I8" s="8">
        <v>45317</v>
      </c>
      <c r="J8" s="8">
        <v>45451</v>
      </c>
      <c r="K8" t="s">
        <v>39</v>
      </c>
      <c r="L8" t="s">
        <v>915</v>
      </c>
      <c r="M8">
        <f t="shared" si="0"/>
        <v>134</v>
      </c>
      <c r="N8" s="9">
        <f t="shared" si="1"/>
        <v>1</v>
      </c>
      <c r="O8" s="10" t="str">
        <f t="shared" si="2"/>
        <v>18-25</v>
      </c>
    </row>
    <row r="9" spans="1:15" x14ac:dyDescent="0.3">
      <c r="A9">
        <v>1083</v>
      </c>
      <c r="B9" t="s">
        <v>11</v>
      </c>
      <c r="C9" s="3">
        <v>21</v>
      </c>
      <c r="D9" t="s">
        <v>661</v>
      </c>
      <c r="E9" t="s">
        <v>24</v>
      </c>
      <c r="F9" s="6" t="s">
        <v>748</v>
      </c>
      <c r="G9" s="3" t="s">
        <v>70</v>
      </c>
      <c r="H9" t="s">
        <v>912</v>
      </c>
      <c r="I9" s="8">
        <v>45399</v>
      </c>
      <c r="J9" s="8">
        <v>45332</v>
      </c>
      <c r="K9" t="s">
        <v>68</v>
      </c>
      <c r="L9" t="s">
        <v>914</v>
      </c>
      <c r="M9">
        <f t="shared" si="0"/>
        <v>-67</v>
      </c>
      <c r="N9" s="9">
        <f t="shared" si="1"/>
        <v>0</v>
      </c>
      <c r="O9" s="10" t="str">
        <f t="shared" si="2"/>
        <v>18-25</v>
      </c>
    </row>
    <row r="10" spans="1:15" x14ac:dyDescent="0.3">
      <c r="A10">
        <v>1106</v>
      </c>
      <c r="B10" t="s">
        <v>116</v>
      </c>
      <c r="C10" s="3">
        <v>24</v>
      </c>
      <c r="D10" t="s">
        <v>23</v>
      </c>
      <c r="E10" t="s">
        <v>155</v>
      </c>
      <c r="F10" s="5" t="s">
        <v>663</v>
      </c>
      <c r="G10" s="3" t="s">
        <v>70</v>
      </c>
      <c r="H10" t="s">
        <v>912</v>
      </c>
      <c r="I10" s="8">
        <v>45316</v>
      </c>
      <c r="J10" s="8">
        <v>45317</v>
      </c>
      <c r="K10" t="s">
        <v>39</v>
      </c>
      <c r="L10" t="s">
        <v>920</v>
      </c>
      <c r="M10">
        <f t="shared" si="0"/>
        <v>1</v>
      </c>
      <c r="N10" s="9">
        <f t="shared" si="1"/>
        <v>1</v>
      </c>
      <c r="O10" s="10" t="str">
        <f t="shared" si="2"/>
        <v>18-25</v>
      </c>
    </row>
    <row r="11" spans="1:15" x14ac:dyDescent="0.3">
      <c r="A11">
        <v>1123</v>
      </c>
      <c r="B11" t="s">
        <v>21</v>
      </c>
      <c r="C11" s="3">
        <v>22</v>
      </c>
      <c r="D11" t="s">
        <v>54</v>
      </c>
      <c r="E11" t="s">
        <v>83</v>
      </c>
      <c r="F11" s="5" t="s">
        <v>664</v>
      </c>
      <c r="G11" s="3" t="s">
        <v>70</v>
      </c>
      <c r="H11" t="s">
        <v>16</v>
      </c>
      <c r="I11" s="8">
        <v>45297</v>
      </c>
      <c r="J11" s="8">
        <v>45365</v>
      </c>
      <c r="K11" t="s">
        <v>39</v>
      </c>
      <c r="L11" t="s">
        <v>916</v>
      </c>
      <c r="M11">
        <f t="shared" si="0"/>
        <v>68</v>
      </c>
      <c r="N11" s="9">
        <f t="shared" si="1"/>
        <v>1</v>
      </c>
      <c r="O11" s="10" t="str">
        <f t="shared" si="2"/>
        <v>18-25</v>
      </c>
    </row>
    <row r="12" spans="1:15" x14ac:dyDescent="0.3">
      <c r="A12">
        <v>1057</v>
      </c>
      <c r="B12" t="s">
        <v>11</v>
      </c>
      <c r="C12" s="3">
        <v>21</v>
      </c>
      <c r="D12" t="s">
        <v>23</v>
      </c>
      <c r="E12" t="s">
        <v>83</v>
      </c>
      <c r="F12" s="6" t="s">
        <v>749</v>
      </c>
      <c r="G12" s="3">
        <v>1</v>
      </c>
      <c r="H12" t="s">
        <v>912</v>
      </c>
      <c r="I12" s="8">
        <v>45630</v>
      </c>
      <c r="J12" s="8">
        <v>45393</v>
      </c>
      <c r="K12" t="s">
        <v>39</v>
      </c>
      <c r="L12" t="s">
        <v>915</v>
      </c>
      <c r="M12">
        <f t="shared" si="0"/>
        <v>-237</v>
      </c>
      <c r="N12" s="9">
        <f t="shared" si="1"/>
        <v>1</v>
      </c>
      <c r="O12" s="10" t="str">
        <f t="shared" si="2"/>
        <v>18-25</v>
      </c>
    </row>
    <row r="13" spans="1:15" x14ac:dyDescent="0.3">
      <c r="A13">
        <v>1214</v>
      </c>
      <c r="B13" t="s">
        <v>21</v>
      </c>
      <c r="C13" s="3">
        <v>19</v>
      </c>
      <c r="D13" t="s">
        <v>54</v>
      </c>
      <c r="E13" t="s">
        <v>83</v>
      </c>
      <c r="F13" s="6" t="s">
        <v>750</v>
      </c>
      <c r="G13" s="3">
        <v>1</v>
      </c>
      <c r="H13" t="s">
        <v>911</v>
      </c>
      <c r="I13" s="8">
        <v>45310</v>
      </c>
      <c r="J13" s="8">
        <v>45439</v>
      </c>
      <c r="K13" t="s">
        <v>39</v>
      </c>
      <c r="L13" t="s">
        <v>917</v>
      </c>
      <c r="M13">
        <f t="shared" si="0"/>
        <v>129</v>
      </c>
      <c r="N13" s="9">
        <f t="shared" si="1"/>
        <v>1</v>
      </c>
      <c r="O13" s="10" t="str">
        <f t="shared" si="2"/>
        <v>18-25</v>
      </c>
    </row>
    <row r="14" spans="1:15" x14ac:dyDescent="0.3">
      <c r="A14">
        <v>1225</v>
      </c>
      <c r="B14" t="s">
        <v>11</v>
      </c>
      <c r="C14" s="3">
        <v>22</v>
      </c>
      <c r="D14" t="s">
        <v>54</v>
      </c>
      <c r="E14" t="s">
        <v>24</v>
      </c>
      <c r="F14" s="5" t="s">
        <v>665</v>
      </c>
      <c r="G14" s="3" t="s">
        <v>65</v>
      </c>
      <c r="H14" t="s">
        <v>912</v>
      </c>
      <c r="I14" s="8">
        <v>45317</v>
      </c>
      <c r="J14" s="8">
        <v>45375</v>
      </c>
      <c r="K14" t="s">
        <v>913</v>
      </c>
      <c r="L14" t="s">
        <v>915</v>
      </c>
      <c r="M14">
        <f t="shared" si="0"/>
        <v>58</v>
      </c>
      <c r="N14" s="9">
        <f t="shared" si="1"/>
        <v>0</v>
      </c>
      <c r="O14" s="10" t="str">
        <f t="shared" si="2"/>
        <v>18-25</v>
      </c>
    </row>
    <row r="15" spans="1:15" x14ac:dyDescent="0.3">
      <c r="A15">
        <v>1096</v>
      </c>
      <c r="B15" t="s">
        <v>657</v>
      </c>
      <c r="C15" s="3">
        <v>22</v>
      </c>
      <c r="D15" t="s">
        <v>54</v>
      </c>
      <c r="E15" t="s">
        <v>24</v>
      </c>
      <c r="F15" s="5" t="s">
        <v>666</v>
      </c>
      <c r="G15" s="3" t="s">
        <v>65</v>
      </c>
      <c r="H15" t="s">
        <v>911</v>
      </c>
      <c r="I15" s="8">
        <v>45368</v>
      </c>
      <c r="J15" s="8">
        <v>45294</v>
      </c>
      <c r="K15" t="s">
        <v>913</v>
      </c>
      <c r="L15" t="s">
        <v>915</v>
      </c>
      <c r="M15">
        <f t="shared" si="0"/>
        <v>-74</v>
      </c>
      <c r="N15" s="9">
        <f t="shared" si="1"/>
        <v>0</v>
      </c>
      <c r="O15" s="10" t="str">
        <f t="shared" si="2"/>
        <v>18-25</v>
      </c>
    </row>
    <row r="16" spans="1:15" x14ac:dyDescent="0.3">
      <c r="A16">
        <v>1113</v>
      </c>
      <c r="B16" t="s">
        <v>657</v>
      </c>
      <c r="C16" s="3">
        <v>18</v>
      </c>
      <c r="D16" t="s">
        <v>23</v>
      </c>
      <c r="E16" t="s">
        <v>24</v>
      </c>
      <c r="F16" s="6" t="s">
        <v>751</v>
      </c>
      <c r="G16" s="3" t="s">
        <v>49</v>
      </c>
      <c r="H16" t="s">
        <v>911</v>
      </c>
      <c r="I16" s="8">
        <v>45344</v>
      </c>
      <c r="J16" s="8">
        <v>45309</v>
      </c>
      <c r="K16" t="s">
        <v>68</v>
      </c>
      <c r="L16" t="s">
        <v>919</v>
      </c>
      <c r="M16">
        <f t="shared" si="0"/>
        <v>-35</v>
      </c>
      <c r="N16" s="9">
        <f t="shared" si="1"/>
        <v>0</v>
      </c>
      <c r="O16" s="10" t="str">
        <f t="shared" si="2"/>
        <v>18-25</v>
      </c>
    </row>
    <row r="17" spans="1:15" x14ac:dyDescent="0.3">
      <c r="A17">
        <v>1126</v>
      </c>
      <c r="B17" t="s">
        <v>659</v>
      </c>
      <c r="C17" s="3">
        <v>22</v>
      </c>
      <c r="D17" t="s">
        <v>54</v>
      </c>
      <c r="E17" t="s">
        <v>155</v>
      </c>
      <c r="F17" s="6" t="s">
        <v>752</v>
      </c>
      <c r="G17" s="3">
        <v>5</v>
      </c>
      <c r="H17" t="s">
        <v>912</v>
      </c>
      <c r="I17" s="8">
        <v>45305</v>
      </c>
      <c r="J17" s="8">
        <v>45569</v>
      </c>
      <c r="K17" t="s">
        <v>68</v>
      </c>
      <c r="L17" t="s">
        <v>917</v>
      </c>
      <c r="M17">
        <f t="shared" si="0"/>
        <v>264</v>
      </c>
      <c r="N17" s="9">
        <f t="shared" si="1"/>
        <v>0</v>
      </c>
      <c r="O17" s="10" t="str">
        <f t="shared" si="2"/>
        <v>18-25</v>
      </c>
    </row>
    <row r="18" spans="1:15" x14ac:dyDescent="0.3">
      <c r="A18">
        <v>1047</v>
      </c>
      <c r="B18" t="s">
        <v>11</v>
      </c>
      <c r="C18" s="3">
        <v>21</v>
      </c>
      <c r="D18" t="s">
        <v>23</v>
      </c>
      <c r="E18" t="s">
        <v>83</v>
      </c>
      <c r="F18" s="6" t="s">
        <v>753</v>
      </c>
      <c r="G18" s="3" t="s">
        <v>65</v>
      </c>
      <c r="H18" t="s">
        <v>16</v>
      </c>
      <c r="I18" s="8">
        <v>45510</v>
      </c>
      <c r="J18" s="8">
        <v>45391</v>
      </c>
      <c r="K18" t="s">
        <v>39</v>
      </c>
      <c r="L18" t="s">
        <v>918</v>
      </c>
      <c r="M18">
        <f t="shared" si="0"/>
        <v>-119</v>
      </c>
      <c r="N18" s="9">
        <f t="shared" si="1"/>
        <v>1</v>
      </c>
      <c r="O18" s="10" t="str">
        <f t="shared" si="2"/>
        <v>18-25</v>
      </c>
    </row>
    <row r="19" spans="1:15" x14ac:dyDescent="0.3">
      <c r="A19">
        <v>1073</v>
      </c>
      <c r="B19" t="s">
        <v>116</v>
      </c>
      <c r="C19" s="3">
        <v>25</v>
      </c>
      <c r="D19" t="s">
        <v>23</v>
      </c>
      <c r="E19" t="s">
        <v>83</v>
      </c>
      <c r="F19" s="6" t="s">
        <v>754</v>
      </c>
      <c r="G19" s="3">
        <v>1</v>
      </c>
      <c r="H19" t="s">
        <v>912</v>
      </c>
      <c r="I19" s="8">
        <v>45379</v>
      </c>
      <c r="J19" s="8">
        <v>45323</v>
      </c>
      <c r="K19" t="s">
        <v>19</v>
      </c>
      <c r="L19" t="s">
        <v>915</v>
      </c>
      <c r="M19">
        <f t="shared" si="0"/>
        <v>-56</v>
      </c>
      <c r="N19" s="9">
        <f t="shared" si="1"/>
        <v>0</v>
      </c>
      <c r="O19" s="10" t="str">
        <f t="shared" si="2"/>
        <v>18-25</v>
      </c>
    </row>
    <row r="20" spans="1:15" x14ac:dyDescent="0.3">
      <c r="A20">
        <v>1032</v>
      </c>
      <c r="B20" t="s">
        <v>660</v>
      </c>
      <c r="C20" s="3">
        <v>22</v>
      </c>
      <c r="D20" t="s">
        <v>661</v>
      </c>
      <c r="E20" t="s">
        <v>83</v>
      </c>
      <c r="F20" s="5" t="s">
        <v>667</v>
      </c>
      <c r="G20" s="3">
        <v>5</v>
      </c>
      <c r="H20" t="s">
        <v>912</v>
      </c>
      <c r="I20" s="8">
        <v>45476</v>
      </c>
      <c r="J20" s="8">
        <v>45342</v>
      </c>
      <c r="K20" t="s">
        <v>39</v>
      </c>
      <c r="L20" t="s">
        <v>914</v>
      </c>
      <c r="M20">
        <f t="shared" si="0"/>
        <v>-134</v>
      </c>
      <c r="N20" s="9">
        <f t="shared" si="1"/>
        <v>1</v>
      </c>
      <c r="O20" s="10" t="str">
        <f t="shared" si="2"/>
        <v>18-25</v>
      </c>
    </row>
    <row r="21" spans="1:15" x14ac:dyDescent="0.3">
      <c r="A21">
        <v>1430</v>
      </c>
      <c r="B21" t="s">
        <v>21</v>
      </c>
      <c r="C21" s="3">
        <v>22</v>
      </c>
      <c r="D21" t="s">
        <v>54</v>
      </c>
      <c r="E21" t="s">
        <v>83</v>
      </c>
      <c r="F21" s="6" t="s">
        <v>755</v>
      </c>
      <c r="G21" s="3" t="s">
        <v>65</v>
      </c>
      <c r="H21" t="s">
        <v>912</v>
      </c>
      <c r="I21" s="8">
        <v>45360</v>
      </c>
      <c r="J21" s="8">
        <v>45429</v>
      </c>
      <c r="K21" t="s">
        <v>39</v>
      </c>
      <c r="L21" t="s">
        <v>918</v>
      </c>
      <c r="M21">
        <f t="shared" si="0"/>
        <v>69</v>
      </c>
      <c r="N21" s="9">
        <f t="shared" si="1"/>
        <v>1</v>
      </c>
      <c r="O21" s="10" t="str">
        <f t="shared" si="2"/>
        <v>18-25</v>
      </c>
    </row>
    <row r="22" spans="1:15" x14ac:dyDescent="0.3">
      <c r="A22">
        <v>1224</v>
      </c>
      <c r="B22" t="s">
        <v>116</v>
      </c>
      <c r="C22" s="3">
        <v>22</v>
      </c>
      <c r="D22" t="s">
        <v>54</v>
      </c>
      <c r="E22" t="s">
        <v>24</v>
      </c>
      <c r="F22" s="6" t="s">
        <v>756</v>
      </c>
      <c r="G22" s="3">
        <v>1</v>
      </c>
      <c r="H22" t="s">
        <v>911</v>
      </c>
      <c r="I22" s="8">
        <v>45406</v>
      </c>
      <c r="J22" s="8">
        <v>45388</v>
      </c>
      <c r="K22" t="s">
        <v>913</v>
      </c>
      <c r="L22" t="s">
        <v>917</v>
      </c>
      <c r="M22">
        <f t="shared" si="0"/>
        <v>-18</v>
      </c>
      <c r="N22" s="9">
        <f t="shared" si="1"/>
        <v>0</v>
      </c>
      <c r="O22" s="10" t="str">
        <f t="shared" si="2"/>
        <v>18-25</v>
      </c>
    </row>
    <row r="23" spans="1:15" x14ac:dyDescent="0.3">
      <c r="A23">
        <v>1111</v>
      </c>
      <c r="B23" t="s">
        <v>116</v>
      </c>
      <c r="C23" s="3">
        <v>22</v>
      </c>
      <c r="D23" t="s">
        <v>23</v>
      </c>
      <c r="E23" t="s">
        <v>83</v>
      </c>
      <c r="F23" s="5" t="s">
        <v>668</v>
      </c>
      <c r="G23" s="3" t="s">
        <v>35</v>
      </c>
      <c r="H23" t="s">
        <v>16</v>
      </c>
      <c r="I23" s="8">
        <v>45627</v>
      </c>
      <c r="J23" s="8">
        <v>45629</v>
      </c>
      <c r="K23" t="s">
        <v>19</v>
      </c>
      <c r="L23" t="s">
        <v>916</v>
      </c>
      <c r="M23">
        <f t="shared" si="0"/>
        <v>2</v>
      </c>
      <c r="N23" s="9">
        <f t="shared" si="1"/>
        <v>0</v>
      </c>
      <c r="O23" s="10" t="str">
        <f t="shared" si="2"/>
        <v>18-25</v>
      </c>
    </row>
    <row r="24" spans="1:15" x14ac:dyDescent="0.3">
      <c r="A24">
        <v>1409</v>
      </c>
      <c r="B24" t="s">
        <v>135</v>
      </c>
      <c r="C24" s="3">
        <v>22</v>
      </c>
      <c r="D24" t="s">
        <v>23</v>
      </c>
      <c r="E24" t="s">
        <v>83</v>
      </c>
      <c r="F24" s="6" t="s">
        <v>757</v>
      </c>
      <c r="G24" s="3" t="s">
        <v>70</v>
      </c>
      <c r="H24" t="s">
        <v>911</v>
      </c>
      <c r="I24" s="8">
        <v>45330</v>
      </c>
      <c r="J24" s="8">
        <v>45445</v>
      </c>
      <c r="K24" t="s">
        <v>19</v>
      </c>
      <c r="L24" t="s">
        <v>919</v>
      </c>
      <c r="M24">
        <f t="shared" si="0"/>
        <v>115</v>
      </c>
      <c r="N24" s="9">
        <f t="shared" si="1"/>
        <v>0</v>
      </c>
      <c r="O24" s="10" t="str">
        <f t="shared" si="2"/>
        <v>18-25</v>
      </c>
    </row>
    <row r="25" spans="1:15" x14ac:dyDescent="0.3">
      <c r="A25">
        <v>1339</v>
      </c>
      <c r="B25" t="s">
        <v>135</v>
      </c>
      <c r="C25" s="3">
        <v>25</v>
      </c>
      <c r="D25" t="s">
        <v>54</v>
      </c>
      <c r="E25" t="s">
        <v>83</v>
      </c>
      <c r="F25" s="6" t="s">
        <v>758</v>
      </c>
      <c r="G25" s="3">
        <v>4</v>
      </c>
      <c r="H25" t="s">
        <v>16</v>
      </c>
      <c r="I25" s="8">
        <v>45426</v>
      </c>
      <c r="J25" s="8">
        <v>45461</v>
      </c>
      <c r="K25" t="s">
        <v>913</v>
      </c>
      <c r="L25" t="s">
        <v>915</v>
      </c>
      <c r="M25">
        <f t="shared" si="0"/>
        <v>35</v>
      </c>
      <c r="N25" s="9">
        <f t="shared" si="1"/>
        <v>0</v>
      </c>
      <c r="O25" s="10" t="str">
        <f t="shared" si="2"/>
        <v>18-25</v>
      </c>
    </row>
    <row r="26" spans="1:15" x14ac:dyDescent="0.3">
      <c r="A26">
        <v>1334</v>
      </c>
      <c r="B26" t="s">
        <v>659</v>
      </c>
      <c r="C26" s="3">
        <v>22</v>
      </c>
      <c r="D26" t="s">
        <v>661</v>
      </c>
      <c r="E26" t="s">
        <v>166</v>
      </c>
      <c r="F26" s="6" t="s">
        <v>759</v>
      </c>
      <c r="G26" s="3" t="s">
        <v>15</v>
      </c>
      <c r="H26" t="s">
        <v>27</v>
      </c>
      <c r="I26" s="8">
        <v>45445</v>
      </c>
      <c r="J26" s="8">
        <v>45508</v>
      </c>
      <c r="K26" t="s">
        <v>913</v>
      </c>
      <c r="L26" t="s">
        <v>916</v>
      </c>
      <c r="M26">
        <f t="shared" si="0"/>
        <v>63</v>
      </c>
      <c r="N26" s="9">
        <f t="shared" si="1"/>
        <v>0</v>
      </c>
      <c r="O26" s="10" t="str">
        <f t="shared" si="2"/>
        <v>18-25</v>
      </c>
    </row>
    <row r="27" spans="1:15" x14ac:dyDescent="0.3">
      <c r="A27">
        <v>1253</v>
      </c>
      <c r="B27" t="s">
        <v>660</v>
      </c>
      <c r="C27" s="3">
        <v>25</v>
      </c>
      <c r="D27" t="s">
        <v>23</v>
      </c>
      <c r="E27" t="s">
        <v>155</v>
      </c>
      <c r="F27" s="6" t="s">
        <v>760</v>
      </c>
      <c r="G27" s="3" t="s">
        <v>35</v>
      </c>
      <c r="H27" t="s">
        <v>16</v>
      </c>
      <c r="I27" s="8">
        <v>45374</v>
      </c>
      <c r="J27" s="8">
        <v>45352</v>
      </c>
      <c r="K27" t="s">
        <v>39</v>
      </c>
      <c r="L27" t="s">
        <v>915</v>
      </c>
      <c r="M27">
        <f t="shared" si="0"/>
        <v>-22</v>
      </c>
      <c r="N27" s="9">
        <f t="shared" si="1"/>
        <v>1</v>
      </c>
      <c r="O27" s="10" t="str">
        <f t="shared" si="2"/>
        <v>18-25</v>
      </c>
    </row>
    <row r="28" spans="1:15" x14ac:dyDescent="0.3">
      <c r="A28">
        <v>1420</v>
      </c>
      <c r="B28" t="s">
        <v>21</v>
      </c>
      <c r="C28" s="3">
        <v>19</v>
      </c>
      <c r="D28" t="s">
        <v>661</v>
      </c>
      <c r="E28" t="s">
        <v>83</v>
      </c>
      <c r="F28" s="5" t="s">
        <v>669</v>
      </c>
      <c r="G28" s="3" t="s">
        <v>70</v>
      </c>
      <c r="H28" t="s">
        <v>911</v>
      </c>
      <c r="I28" s="8">
        <v>45509</v>
      </c>
      <c r="J28" s="8">
        <v>45446</v>
      </c>
      <c r="K28" t="s">
        <v>68</v>
      </c>
      <c r="L28" t="s">
        <v>917</v>
      </c>
      <c r="M28">
        <f t="shared" si="0"/>
        <v>-63</v>
      </c>
      <c r="N28" s="9">
        <f t="shared" si="1"/>
        <v>0</v>
      </c>
      <c r="O28" s="10" t="str">
        <f t="shared" si="2"/>
        <v>18-25</v>
      </c>
    </row>
    <row r="29" spans="1:15" x14ac:dyDescent="0.3">
      <c r="A29">
        <v>1096</v>
      </c>
      <c r="B29" t="s">
        <v>21</v>
      </c>
      <c r="C29" s="3">
        <v>22</v>
      </c>
      <c r="D29" t="s">
        <v>23</v>
      </c>
      <c r="E29" t="s">
        <v>83</v>
      </c>
      <c r="F29" s="6" t="s">
        <v>761</v>
      </c>
      <c r="G29" s="3">
        <v>5</v>
      </c>
      <c r="H29" t="s">
        <v>911</v>
      </c>
      <c r="I29" s="8">
        <v>45345</v>
      </c>
      <c r="J29" s="8">
        <v>45456</v>
      </c>
      <c r="K29" t="s">
        <v>68</v>
      </c>
      <c r="L29" t="s">
        <v>917</v>
      </c>
      <c r="M29">
        <f t="shared" si="0"/>
        <v>111</v>
      </c>
      <c r="N29" s="9">
        <f t="shared" si="1"/>
        <v>0</v>
      </c>
      <c r="O29" s="10" t="str">
        <f t="shared" si="2"/>
        <v>18-25</v>
      </c>
    </row>
    <row r="30" spans="1:15" x14ac:dyDescent="0.3">
      <c r="A30">
        <v>1208</v>
      </c>
      <c r="B30" t="s">
        <v>657</v>
      </c>
      <c r="C30" s="3">
        <v>22</v>
      </c>
      <c r="D30" t="s">
        <v>54</v>
      </c>
      <c r="E30" t="s">
        <v>155</v>
      </c>
      <c r="F30" s="6" t="s">
        <v>762</v>
      </c>
      <c r="G30" s="3" t="s">
        <v>65</v>
      </c>
      <c r="H30" t="s">
        <v>912</v>
      </c>
      <c r="I30" s="8">
        <v>45398</v>
      </c>
      <c r="J30" s="8">
        <v>45571</v>
      </c>
      <c r="K30" t="s">
        <v>68</v>
      </c>
      <c r="L30" t="s">
        <v>915</v>
      </c>
      <c r="M30">
        <f t="shared" si="0"/>
        <v>173</v>
      </c>
      <c r="N30" s="9">
        <f t="shared" si="1"/>
        <v>0</v>
      </c>
      <c r="O30" s="10" t="str">
        <f t="shared" si="2"/>
        <v>18-25</v>
      </c>
    </row>
    <row r="31" spans="1:15" x14ac:dyDescent="0.3">
      <c r="A31">
        <v>1068</v>
      </c>
      <c r="B31" t="s">
        <v>659</v>
      </c>
      <c r="C31" s="3">
        <v>22</v>
      </c>
      <c r="D31" t="s">
        <v>23</v>
      </c>
      <c r="E31" t="s">
        <v>24</v>
      </c>
      <c r="F31" s="6" t="s">
        <v>763</v>
      </c>
      <c r="G31" s="3" t="s">
        <v>70</v>
      </c>
      <c r="H31" t="s">
        <v>16</v>
      </c>
      <c r="I31" s="8">
        <v>45366</v>
      </c>
      <c r="J31" s="8">
        <v>45295</v>
      </c>
      <c r="K31" t="s">
        <v>68</v>
      </c>
      <c r="L31" t="s">
        <v>914</v>
      </c>
      <c r="M31">
        <f t="shared" si="0"/>
        <v>-71</v>
      </c>
      <c r="N31" s="9">
        <f t="shared" si="1"/>
        <v>0</v>
      </c>
      <c r="O31" s="10" t="str">
        <f t="shared" si="2"/>
        <v>18-25</v>
      </c>
    </row>
    <row r="32" spans="1:15" x14ac:dyDescent="0.3">
      <c r="A32">
        <v>1305</v>
      </c>
      <c r="B32" t="s">
        <v>660</v>
      </c>
      <c r="C32" s="3">
        <v>22</v>
      </c>
      <c r="D32" t="s">
        <v>23</v>
      </c>
      <c r="E32" t="s">
        <v>155</v>
      </c>
      <c r="F32" s="6" t="s">
        <v>764</v>
      </c>
      <c r="G32" s="3">
        <v>5</v>
      </c>
      <c r="H32" t="s">
        <v>16</v>
      </c>
      <c r="I32" s="8">
        <v>45312</v>
      </c>
      <c r="J32" s="8">
        <v>45403</v>
      </c>
      <c r="K32" t="s">
        <v>68</v>
      </c>
      <c r="L32" t="s">
        <v>920</v>
      </c>
      <c r="M32">
        <f t="shared" si="0"/>
        <v>91</v>
      </c>
      <c r="N32" s="9">
        <f t="shared" si="1"/>
        <v>0</v>
      </c>
      <c r="O32" s="10" t="str">
        <f t="shared" si="2"/>
        <v>18-25</v>
      </c>
    </row>
    <row r="33" spans="1:15" x14ac:dyDescent="0.3">
      <c r="A33">
        <v>1311</v>
      </c>
      <c r="B33" t="s">
        <v>659</v>
      </c>
      <c r="C33" s="3">
        <v>22</v>
      </c>
      <c r="D33" t="s">
        <v>23</v>
      </c>
      <c r="E33" t="s">
        <v>166</v>
      </c>
      <c r="F33" s="6" t="s">
        <v>765</v>
      </c>
      <c r="G33" s="3">
        <v>5</v>
      </c>
      <c r="H33" t="s">
        <v>911</v>
      </c>
      <c r="I33" s="8">
        <v>45323</v>
      </c>
      <c r="J33" s="8">
        <v>45376</v>
      </c>
      <c r="K33" t="s">
        <v>39</v>
      </c>
      <c r="L33" t="s">
        <v>915</v>
      </c>
      <c r="M33">
        <f t="shared" si="0"/>
        <v>53</v>
      </c>
      <c r="N33" s="9">
        <f t="shared" si="1"/>
        <v>1</v>
      </c>
      <c r="O33" s="10" t="str">
        <f t="shared" si="2"/>
        <v>18-25</v>
      </c>
    </row>
    <row r="34" spans="1:15" x14ac:dyDescent="0.3">
      <c r="A34">
        <v>1451</v>
      </c>
      <c r="B34" t="s">
        <v>21</v>
      </c>
      <c r="C34" s="3">
        <v>25</v>
      </c>
      <c r="D34" t="s">
        <v>661</v>
      </c>
      <c r="E34" t="s">
        <v>155</v>
      </c>
      <c r="F34" s="6" t="s">
        <v>766</v>
      </c>
      <c r="G34" s="3" t="s">
        <v>15</v>
      </c>
      <c r="H34" t="s">
        <v>27</v>
      </c>
      <c r="I34" s="8">
        <v>45427</v>
      </c>
      <c r="J34" s="8">
        <v>45401</v>
      </c>
      <c r="K34" t="s">
        <v>39</v>
      </c>
      <c r="L34" t="s">
        <v>920</v>
      </c>
      <c r="M34">
        <f t="shared" si="0"/>
        <v>-26</v>
      </c>
      <c r="N34" s="9">
        <f t="shared" si="1"/>
        <v>1</v>
      </c>
      <c r="O34" s="10" t="str">
        <f t="shared" si="2"/>
        <v>18-25</v>
      </c>
    </row>
    <row r="35" spans="1:15" x14ac:dyDescent="0.3">
      <c r="A35">
        <v>1002</v>
      </c>
      <c r="B35" t="s">
        <v>11</v>
      </c>
      <c r="C35" s="3">
        <v>22</v>
      </c>
      <c r="D35" t="s">
        <v>661</v>
      </c>
      <c r="E35" t="s">
        <v>24</v>
      </c>
      <c r="F35" s="5" t="s">
        <v>670</v>
      </c>
      <c r="G35" s="3" t="s">
        <v>15</v>
      </c>
      <c r="H35" t="s">
        <v>912</v>
      </c>
      <c r="I35" s="8">
        <v>45308</v>
      </c>
      <c r="J35" s="8">
        <v>45408</v>
      </c>
      <c r="K35" t="s">
        <v>68</v>
      </c>
      <c r="L35" t="s">
        <v>920</v>
      </c>
      <c r="M35">
        <f t="shared" si="0"/>
        <v>100</v>
      </c>
      <c r="N35" s="9">
        <f t="shared" si="1"/>
        <v>0</v>
      </c>
      <c r="O35" s="10" t="str">
        <f t="shared" si="2"/>
        <v>18-25</v>
      </c>
    </row>
    <row r="36" spans="1:15" x14ac:dyDescent="0.3">
      <c r="A36">
        <v>1340</v>
      </c>
      <c r="B36" t="s">
        <v>657</v>
      </c>
      <c r="C36" s="3">
        <v>25</v>
      </c>
      <c r="D36" t="s">
        <v>54</v>
      </c>
      <c r="E36" t="s">
        <v>166</v>
      </c>
      <c r="F36" s="5" t="s">
        <v>671</v>
      </c>
      <c r="G36" s="3">
        <v>1</v>
      </c>
      <c r="H36" t="s">
        <v>912</v>
      </c>
      <c r="I36" s="8">
        <v>45299</v>
      </c>
      <c r="J36" s="8">
        <v>45405</v>
      </c>
      <c r="K36" t="s">
        <v>39</v>
      </c>
      <c r="L36" t="s">
        <v>918</v>
      </c>
      <c r="M36">
        <f t="shared" si="0"/>
        <v>106</v>
      </c>
      <c r="N36" s="9">
        <f t="shared" si="1"/>
        <v>1</v>
      </c>
      <c r="O36" s="10" t="str">
        <f t="shared" si="2"/>
        <v>18-25</v>
      </c>
    </row>
    <row r="37" spans="1:15" x14ac:dyDescent="0.3">
      <c r="A37">
        <v>1039</v>
      </c>
      <c r="B37" t="s">
        <v>11</v>
      </c>
      <c r="C37" s="3">
        <v>22</v>
      </c>
      <c r="D37" t="s">
        <v>661</v>
      </c>
      <c r="E37" t="s">
        <v>24</v>
      </c>
      <c r="F37" s="6" t="s">
        <v>767</v>
      </c>
      <c r="G37" s="3">
        <v>4</v>
      </c>
      <c r="H37" t="s">
        <v>911</v>
      </c>
      <c r="I37" s="8">
        <v>45440</v>
      </c>
      <c r="J37" s="8">
        <v>45400</v>
      </c>
      <c r="K37" t="s">
        <v>68</v>
      </c>
      <c r="L37" t="s">
        <v>920</v>
      </c>
      <c r="M37">
        <f t="shared" si="0"/>
        <v>-40</v>
      </c>
      <c r="N37" s="9">
        <f t="shared" si="1"/>
        <v>0</v>
      </c>
      <c r="O37" s="10" t="str">
        <f t="shared" si="2"/>
        <v>18-25</v>
      </c>
    </row>
    <row r="38" spans="1:15" x14ac:dyDescent="0.3">
      <c r="A38">
        <v>1322</v>
      </c>
      <c r="B38" t="s">
        <v>135</v>
      </c>
      <c r="C38" s="3">
        <v>22</v>
      </c>
      <c r="D38" t="s">
        <v>23</v>
      </c>
      <c r="E38" t="s">
        <v>83</v>
      </c>
      <c r="F38" s="6" t="s">
        <v>768</v>
      </c>
      <c r="G38" s="3">
        <v>4</v>
      </c>
      <c r="H38" t="s">
        <v>16</v>
      </c>
      <c r="I38" s="8">
        <v>45326</v>
      </c>
      <c r="J38" s="8">
        <v>45311</v>
      </c>
      <c r="K38" t="s">
        <v>39</v>
      </c>
      <c r="L38" t="s">
        <v>917</v>
      </c>
      <c r="M38">
        <f t="shared" si="0"/>
        <v>-15</v>
      </c>
      <c r="N38" s="9">
        <f t="shared" si="1"/>
        <v>1</v>
      </c>
      <c r="O38" s="10" t="str">
        <f t="shared" si="2"/>
        <v>18-25</v>
      </c>
    </row>
    <row r="39" spans="1:15" x14ac:dyDescent="0.3">
      <c r="A39">
        <v>1084</v>
      </c>
      <c r="B39" t="s">
        <v>657</v>
      </c>
      <c r="C39" s="3">
        <v>18</v>
      </c>
      <c r="D39" t="s">
        <v>54</v>
      </c>
      <c r="E39" t="s">
        <v>24</v>
      </c>
      <c r="F39" s="5" t="s">
        <v>672</v>
      </c>
      <c r="G39" s="3">
        <v>4</v>
      </c>
      <c r="H39" t="s">
        <v>911</v>
      </c>
      <c r="I39" s="8">
        <v>45438</v>
      </c>
      <c r="J39" s="8">
        <v>45355</v>
      </c>
      <c r="K39" t="s">
        <v>39</v>
      </c>
      <c r="L39" t="s">
        <v>914</v>
      </c>
      <c r="M39">
        <f t="shared" si="0"/>
        <v>-83</v>
      </c>
      <c r="N39" s="9">
        <f t="shared" si="1"/>
        <v>1</v>
      </c>
      <c r="O39" s="10" t="str">
        <f t="shared" si="2"/>
        <v>18-25</v>
      </c>
    </row>
    <row r="40" spans="1:15" x14ac:dyDescent="0.3">
      <c r="A40">
        <v>1047</v>
      </c>
      <c r="B40" t="s">
        <v>660</v>
      </c>
      <c r="C40" s="3">
        <v>22</v>
      </c>
      <c r="D40" t="s">
        <v>54</v>
      </c>
      <c r="E40" t="s">
        <v>24</v>
      </c>
      <c r="F40" s="6" t="s">
        <v>769</v>
      </c>
      <c r="G40" s="3">
        <v>4</v>
      </c>
      <c r="H40" t="s">
        <v>912</v>
      </c>
      <c r="I40" s="8">
        <v>45334</v>
      </c>
      <c r="J40" s="8">
        <v>45400</v>
      </c>
      <c r="K40" t="s">
        <v>39</v>
      </c>
      <c r="L40" t="s">
        <v>915</v>
      </c>
      <c r="M40">
        <f t="shared" si="0"/>
        <v>66</v>
      </c>
      <c r="N40" s="9">
        <f t="shared" si="1"/>
        <v>1</v>
      </c>
      <c r="O40" s="10" t="str">
        <f t="shared" si="2"/>
        <v>18-25</v>
      </c>
    </row>
    <row r="41" spans="1:15" x14ac:dyDescent="0.3">
      <c r="A41">
        <v>1445</v>
      </c>
      <c r="B41" t="s">
        <v>657</v>
      </c>
      <c r="C41" s="3">
        <v>25</v>
      </c>
      <c r="D41" t="s">
        <v>661</v>
      </c>
      <c r="E41" t="s">
        <v>83</v>
      </c>
      <c r="F41" s="6" t="s">
        <v>770</v>
      </c>
      <c r="G41" s="3" t="s">
        <v>15</v>
      </c>
      <c r="H41" t="s">
        <v>912</v>
      </c>
      <c r="I41" s="8">
        <v>45324</v>
      </c>
      <c r="J41" s="8">
        <v>45392</v>
      </c>
      <c r="K41" t="s">
        <v>39</v>
      </c>
      <c r="L41" t="s">
        <v>914</v>
      </c>
      <c r="M41">
        <f t="shared" si="0"/>
        <v>68</v>
      </c>
      <c r="N41" s="9">
        <f t="shared" si="1"/>
        <v>1</v>
      </c>
      <c r="O41" s="10" t="str">
        <f t="shared" si="2"/>
        <v>18-25</v>
      </c>
    </row>
    <row r="42" spans="1:15" x14ac:dyDescent="0.3">
      <c r="A42">
        <v>1176</v>
      </c>
      <c r="B42" t="s">
        <v>116</v>
      </c>
      <c r="C42" s="3">
        <v>22</v>
      </c>
      <c r="D42" t="s">
        <v>23</v>
      </c>
      <c r="E42" t="s">
        <v>83</v>
      </c>
      <c r="F42" s="6" t="s">
        <v>771</v>
      </c>
      <c r="G42" s="3">
        <v>4</v>
      </c>
      <c r="H42" t="s">
        <v>911</v>
      </c>
      <c r="I42" s="8">
        <v>45399</v>
      </c>
      <c r="J42" s="8">
        <v>45293</v>
      </c>
      <c r="K42" t="s">
        <v>68</v>
      </c>
      <c r="L42" t="s">
        <v>916</v>
      </c>
      <c r="M42">
        <f t="shared" si="0"/>
        <v>-106</v>
      </c>
      <c r="N42" s="9">
        <f t="shared" si="1"/>
        <v>0</v>
      </c>
      <c r="O42" s="10" t="str">
        <f t="shared" si="2"/>
        <v>18-25</v>
      </c>
    </row>
    <row r="43" spans="1:15" x14ac:dyDescent="0.3">
      <c r="A43">
        <v>1135</v>
      </c>
      <c r="B43" t="s">
        <v>11</v>
      </c>
      <c r="C43" s="3">
        <v>21</v>
      </c>
      <c r="D43" t="s">
        <v>54</v>
      </c>
      <c r="E43" t="s">
        <v>83</v>
      </c>
      <c r="F43" s="6" t="s">
        <v>772</v>
      </c>
      <c r="G43" s="3" t="s">
        <v>49</v>
      </c>
      <c r="H43" t="s">
        <v>27</v>
      </c>
      <c r="I43" s="8">
        <v>45311</v>
      </c>
      <c r="J43" s="8">
        <v>45429</v>
      </c>
      <c r="K43" t="s">
        <v>68</v>
      </c>
      <c r="L43" t="s">
        <v>920</v>
      </c>
      <c r="M43">
        <f t="shared" si="0"/>
        <v>118</v>
      </c>
      <c r="N43" s="9">
        <f t="shared" si="1"/>
        <v>0</v>
      </c>
      <c r="O43" s="10" t="str">
        <f t="shared" si="2"/>
        <v>18-25</v>
      </c>
    </row>
    <row r="44" spans="1:15" x14ac:dyDescent="0.3">
      <c r="A44">
        <v>1361</v>
      </c>
      <c r="B44" t="s">
        <v>116</v>
      </c>
      <c r="C44" s="3">
        <v>25</v>
      </c>
      <c r="D44" t="s">
        <v>54</v>
      </c>
      <c r="E44" t="s">
        <v>24</v>
      </c>
      <c r="F44" s="6" t="s">
        <v>773</v>
      </c>
      <c r="G44" s="3">
        <v>5</v>
      </c>
      <c r="H44" t="s">
        <v>911</v>
      </c>
      <c r="I44" s="8">
        <v>45336</v>
      </c>
      <c r="J44" s="8">
        <v>45409</v>
      </c>
      <c r="K44" t="s">
        <v>39</v>
      </c>
      <c r="L44" t="s">
        <v>918</v>
      </c>
      <c r="M44">
        <f t="shared" si="0"/>
        <v>73</v>
      </c>
      <c r="N44" s="9">
        <f t="shared" si="1"/>
        <v>1</v>
      </c>
      <c r="O44" s="10" t="str">
        <f t="shared" si="2"/>
        <v>18-25</v>
      </c>
    </row>
    <row r="45" spans="1:15" x14ac:dyDescent="0.3">
      <c r="A45">
        <v>1099</v>
      </c>
      <c r="B45" t="s">
        <v>657</v>
      </c>
      <c r="C45" s="3">
        <v>21</v>
      </c>
      <c r="D45" t="s">
        <v>23</v>
      </c>
      <c r="E45" t="s">
        <v>155</v>
      </c>
      <c r="F45" s="6" t="s">
        <v>774</v>
      </c>
      <c r="G45" s="3">
        <v>1</v>
      </c>
      <c r="H45" t="s">
        <v>912</v>
      </c>
      <c r="I45" s="8">
        <v>45309</v>
      </c>
      <c r="J45" s="8">
        <v>45392</v>
      </c>
      <c r="K45" t="s">
        <v>68</v>
      </c>
      <c r="L45" t="s">
        <v>920</v>
      </c>
      <c r="M45">
        <f t="shared" si="0"/>
        <v>83</v>
      </c>
      <c r="N45" s="9">
        <f t="shared" si="1"/>
        <v>0</v>
      </c>
      <c r="O45" s="10" t="str">
        <f t="shared" si="2"/>
        <v>18-25</v>
      </c>
    </row>
    <row r="46" spans="1:15" x14ac:dyDescent="0.3">
      <c r="A46">
        <v>1380</v>
      </c>
      <c r="B46" t="s">
        <v>659</v>
      </c>
      <c r="C46" s="3">
        <v>25</v>
      </c>
      <c r="D46" t="s">
        <v>54</v>
      </c>
      <c r="E46" t="s">
        <v>155</v>
      </c>
      <c r="F46" s="5" t="s">
        <v>673</v>
      </c>
      <c r="G46" s="3">
        <v>5</v>
      </c>
      <c r="H46" t="s">
        <v>912</v>
      </c>
      <c r="I46" s="8">
        <v>45456</v>
      </c>
      <c r="J46" s="8">
        <v>45507</v>
      </c>
      <c r="K46" t="s">
        <v>39</v>
      </c>
      <c r="L46" t="s">
        <v>916</v>
      </c>
      <c r="M46">
        <f t="shared" si="0"/>
        <v>51</v>
      </c>
      <c r="N46" s="9">
        <f t="shared" si="1"/>
        <v>1</v>
      </c>
      <c r="O46" s="10" t="str">
        <f t="shared" si="2"/>
        <v>18-25</v>
      </c>
    </row>
    <row r="47" spans="1:15" x14ac:dyDescent="0.3">
      <c r="A47">
        <v>1348</v>
      </c>
      <c r="B47" t="s">
        <v>660</v>
      </c>
      <c r="C47" s="3">
        <v>18</v>
      </c>
      <c r="D47" t="s">
        <v>23</v>
      </c>
      <c r="E47" t="s">
        <v>24</v>
      </c>
      <c r="F47" s="5" t="s">
        <v>674</v>
      </c>
      <c r="G47" s="3">
        <v>4</v>
      </c>
      <c r="H47" t="s">
        <v>16</v>
      </c>
      <c r="I47" s="8">
        <v>45327</v>
      </c>
      <c r="J47" s="8">
        <v>45445</v>
      </c>
      <c r="K47" t="s">
        <v>913</v>
      </c>
      <c r="L47" t="s">
        <v>919</v>
      </c>
      <c r="M47">
        <f t="shared" si="0"/>
        <v>118</v>
      </c>
      <c r="N47" s="9">
        <f t="shared" si="1"/>
        <v>0</v>
      </c>
      <c r="O47" s="10" t="str">
        <f t="shared" si="2"/>
        <v>18-25</v>
      </c>
    </row>
    <row r="48" spans="1:15" x14ac:dyDescent="0.3">
      <c r="A48">
        <v>1180</v>
      </c>
      <c r="B48" t="s">
        <v>116</v>
      </c>
      <c r="C48" s="3">
        <v>25</v>
      </c>
      <c r="D48" t="s">
        <v>23</v>
      </c>
      <c r="E48" t="s">
        <v>166</v>
      </c>
      <c r="F48" s="5" t="s">
        <v>816</v>
      </c>
      <c r="G48" s="3">
        <v>5</v>
      </c>
      <c r="H48" t="s">
        <v>911</v>
      </c>
      <c r="I48" s="8">
        <v>45429</v>
      </c>
      <c r="J48" s="8">
        <v>45367</v>
      </c>
      <c r="K48" t="s">
        <v>913</v>
      </c>
      <c r="L48" t="s">
        <v>919</v>
      </c>
      <c r="M48">
        <f t="shared" si="0"/>
        <v>-62</v>
      </c>
      <c r="N48" s="9">
        <f t="shared" si="1"/>
        <v>0</v>
      </c>
      <c r="O48" s="10" t="str">
        <f t="shared" si="2"/>
        <v>18-25</v>
      </c>
    </row>
    <row r="49" spans="1:15" x14ac:dyDescent="0.3">
      <c r="A49">
        <v>1358</v>
      </c>
      <c r="B49" t="s">
        <v>659</v>
      </c>
      <c r="C49" s="3">
        <v>24</v>
      </c>
      <c r="D49" t="s">
        <v>23</v>
      </c>
      <c r="E49" t="s">
        <v>83</v>
      </c>
      <c r="F49" s="5" t="s">
        <v>675</v>
      </c>
      <c r="G49" s="3">
        <v>1</v>
      </c>
      <c r="H49" t="s">
        <v>16</v>
      </c>
      <c r="I49" s="8">
        <v>45317</v>
      </c>
      <c r="J49" s="8">
        <v>45383</v>
      </c>
      <c r="K49" t="s">
        <v>39</v>
      </c>
      <c r="L49" t="s">
        <v>915</v>
      </c>
      <c r="M49">
        <f t="shared" si="0"/>
        <v>66</v>
      </c>
      <c r="N49" s="9">
        <f t="shared" si="1"/>
        <v>1</v>
      </c>
      <c r="O49" s="10" t="str">
        <f t="shared" si="2"/>
        <v>18-25</v>
      </c>
    </row>
    <row r="50" spans="1:15" x14ac:dyDescent="0.3">
      <c r="A50">
        <v>1353</v>
      </c>
      <c r="B50" t="s">
        <v>21</v>
      </c>
      <c r="C50" s="3">
        <v>22</v>
      </c>
      <c r="D50" t="s">
        <v>23</v>
      </c>
      <c r="E50" t="s">
        <v>83</v>
      </c>
      <c r="F50" s="5" t="s">
        <v>866</v>
      </c>
      <c r="G50" s="3" t="s">
        <v>70</v>
      </c>
      <c r="H50" t="s">
        <v>16</v>
      </c>
      <c r="I50" s="8">
        <v>45383</v>
      </c>
      <c r="J50" s="8">
        <v>45414</v>
      </c>
      <c r="K50" t="s">
        <v>39</v>
      </c>
      <c r="L50" t="s">
        <v>919</v>
      </c>
      <c r="M50">
        <f t="shared" si="0"/>
        <v>31</v>
      </c>
      <c r="N50" s="9">
        <f t="shared" si="1"/>
        <v>1</v>
      </c>
      <c r="O50" s="10" t="str">
        <f t="shared" si="2"/>
        <v>18-25</v>
      </c>
    </row>
    <row r="51" spans="1:15" x14ac:dyDescent="0.3">
      <c r="A51">
        <v>1213</v>
      </c>
      <c r="B51" t="s">
        <v>660</v>
      </c>
      <c r="C51" s="3">
        <v>24</v>
      </c>
      <c r="D51" t="s">
        <v>23</v>
      </c>
      <c r="E51" t="s">
        <v>83</v>
      </c>
      <c r="F51" s="5" t="s">
        <v>676</v>
      </c>
      <c r="G51" s="3">
        <v>1</v>
      </c>
      <c r="H51" t="s">
        <v>912</v>
      </c>
      <c r="I51" s="8">
        <v>45308</v>
      </c>
      <c r="J51" s="8">
        <v>45353</v>
      </c>
      <c r="K51" t="s">
        <v>19</v>
      </c>
      <c r="L51" t="s">
        <v>920</v>
      </c>
      <c r="M51">
        <f t="shared" si="0"/>
        <v>45</v>
      </c>
      <c r="N51" s="9">
        <f t="shared" si="1"/>
        <v>0</v>
      </c>
      <c r="O51" s="10" t="str">
        <f t="shared" si="2"/>
        <v>18-25</v>
      </c>
    </row>
    <row r="52" spans="1:15" x14ac:dyDescent="0.3">
      <c r="A52">
        <v>1118</v>
      </c>
      <c r="B52" t="s">
        <v>11</v>
      </c>
      <c r="C52" s="3">
        <v>22</v>
      </c>
      <c r="D52" t="s">
        <v>23</v>
      </c>
      <c r="E52" t="s">
        <v>83</v>
      </c>
      <c r="F52" s="5" t="s">
        <v>817</v>
      </c>
      <c r="G52" s="3" t="s">
        <v>65</v>
      </c>
      <c r="H52" t="s">
        <v>911</v>
      </c>
      <c r="I52" s="8">
        <v>45383</v>
      </c>
      <c r="J52" s="8">
        <v>45449</v>
      </c>
      <c r="K52" t="s">
        <v>913</v>
      </c>
      <c r="L52" t="s">
        <v>914</v>
      </c>
      <c r="M52">
        <f t="shared" si="0"/>
        <v>66</v>
      </c>
      <c r="N52" s="9">
        <f t="shared" si="1"/>
        <v>0</v>
      </c>
      <c r="O52" s="10" t="str">
        <f t="shared" si="2"/>
        <v>18-25</v>
      </c>
    </row>
    <row r="53" spans="1:15" x14ac:dyDescent="0.3">
      <c r="A53">
        <v>1350</v>
      </c>
      <c r="B53" t="s">
        <v>657</v>
      </c>
      <c r="C53" s="3">
        <v>22</v>
      </c>
      <c r="D53" t="s">
        <v>54</v>
      </c>
      <c r="E53" t="s">
        <v>83</v>
      </c>
      <c r="F53" s="5" t="s">
        <v>677</v>
      </c>
      <c r="G53" s="3" t="s">
        <v>70</v>
      </c>
      <c r="H53" t="s">
        <v>16</v>
      </c>
      <c r="I53" s="8">
        <v>45401</v>
      </c>
      <c r="J53" s="8">
        <v>45384</v>
      </c>
      <c r="K53" t="s">
        <v>19</v>
      </c>
      <c r="L53" t="s">
        <v>915</v>
      </c>
      <c r="M53">
        <f t="shared" si="0"/>
        <v>-17</v>
      </c>
      <c r="N53" s="9">
        <f t="shared" si="1"/>
        <v>0</v>
      </c>
      <c r="O53" s="10" t="str">
        <f t="shared" si="2"/>
        <v>18-25</v>
      </c>
    </row>
    <row r="54" spans="1:15" x14ac:dyDescent="0.3">
      <c r="A54">
        <v>1411</v>
      </c>
      <c r="B54" t="s">
        <v>11</v>
      </c>
      <c r="C54" s="3">
        <v>18</v>
      </c>
      <c r="D54" t="s">
        <v>54</v>
      </c>
      <c r="E54" t="s">
        <v>83</v>
      </c>
      <c r="F54" s="5" t="s">
        <v>678</v>
      </c>
      <c r="G54" s="3">
        <v>1</v>
      </c>
      <c r="H54" t="s">
        <v>911</v>
      </c>
      <c r="I54" s="8">
        <v>45337</v>
      </c>
      <c r="J54" s="8">
        <v>45416</v>
      </c>
      <c r="K54" t="s">
        <v>39</v>
      </c>
      <c r="L54" t="s">
        <v>916</v>
      </c>
      <c r="M54">
        <f t="shared" si="0"/>
        <v>79</v>
      </c>
      <c r="N54" s="9">
        <f t="shared" si="1"/>
        <v>1</v>
      </c>
      <c r="O54" s="10" t="str">
        <f t="shared" si="2"/>
        <v>18-25</v>
      </c>
    </row>
    <row r="55" spans="1:15" x14ac:dyDescent="0.3">
      <c r="A55">
        <v>1290</v>
      </c>
      <c r="B55" t="s">
        <v>21</v>
      </c>
      <c r="C55" s="3">
        <v>22</v>
      </c>
      <c r="D55" t="s">
        <v>54</v>
      </c>
      <c r="E55" t="s">
        <v>24</v>
      </c>
      <c r="F55" s="5" t="s">
        <v>775</v>
      </c>
      <c r="G55" s="3">
        <v>1</v>
      </c>
      <c r="H55" t="s">
        <v>912</v>
      </c>
      <c r="I55" s="8">
        <v>45296</v>
      </c>
      <c r="J55" s="8">
        <v>45346</v>
      </c>
      <c r="K55" t="s">
        <v>39</v>
      </c>
      <c r="L55" t="s">
        <v>920</v>
      </c>
      <c r="M55">
        <f t="shared" si="0"/>
        <v>50</v>
      </c>
      <c r="N55" s="9">
        <f t="shared" si="1"/>
        <v>1</v>
      </c>
      <c r="O55" s="10" t="str">
        <f t="shared" si="2"/>
        <v>18-25</v>
      </c>
    </row>
    <row r="56" spans="1:15" x14ac:dyDescent="0.3">
      <c r="A56">
        <v>1481</v>
      </c>
      <c r="B56" t="s">
        <v>659</v>
      </c>
      <c r="C56" s="3">
        <v>23</v>
      </c>
      <c r="D56" t="s">
        <v>54</v>
      </c>
      <c r="E56" t="s">
        <v>155</v>
      </c>
      <c r="F56" s="5" t="s">
        <v>679</v>
      </c>
      <c r="G56" s="3" t="s">
        <v>15</v>
      </c>
      <c r="H56" t="s">
        <v>16</v>
      </c>
      <c r="I56" s="8">
        <v>45479</v>
      </c>
      <c r="J56" s="8">
        <v>45505</v>
      </c>
      <c r="K56" t="s">
        <v>19</v>
      </c>
      <c r="L56" t="s">
        <v>919</v>
      </c>
      <c r="M56">
        <f t="shared" si="0"/>
        <v>26</v>
      </c>
      <c r="N56" s="9">
        <f t="shared" si="1"/>
        <v>0</v>
      </c>
      <c r="O56" s="10" t="str">
        <f t="shared" si="2"/>
        <v>18-25</v>
      </c>
    </row>
    <row r="57" spans="1:15" x14ac:dyDescent="0.3">
      <c r="A57">
        <v>1076</v>
      </c>
      <c r="B57" t="s">
        <v>660</v>
      </c>
      <c r="C57" s="3">
        <v>21</v>
      </c>
      <c r="D57" t="s">
        <v>661</v>
      </c>
      <c r="E57" t="s">
        <v>83</v>
      </c>
      <c r="F57" s="5" t="s">
        <v>818</v>
      </c>
      <c r="G57" s="3" t="s">
        <v>35</v>
      </c>
      <c r="H57" t="s">
        <v>911</v>
      </c>
      <c r="I57" s="8">
        <v>45318</v>
      </c>
      <c r="J57" s="8">
        <v>45401</v>
      </c>
      <c r="K57" t="s">
        <v>39</v>
      </c>
      <c r="L57" t="s">
        <v>919</v>
      </c>
      <c r="M57">
        <f t="shared" si="0"/>
        <v>83</v>
      </c>
      <c r="N57" s="9">
        <f t="shared" si="1"/>
        <v>1</v>
      </c>
      <c r="O57" s="10" t="str">
        <f t="shared" si="2"/>
        <v>18-25</v>
      </c>
    </row>
    <row r="58" spans="1:15" x14ac:dyDescent="0.3">
      <c r="A58">
        <v>1168</v>
      </c>
      <c r="B58" t="s">
        <v>21</v>
      </c>
      <c r="C58" s="3">
        <v>22</v>
      </c>
      <c r="D58" t="s">
        <v>661</v>
      </c>
      <c r="E58" t="s">
        <v>155</v>
      </c>
      <c r="F58" s="5" t="s">
        <v>819</v>
      </c>
      <c r="G58" s="3">
        <v>1</v>
      </c>
      <c r="H58" t="s">
        <v>911</v>
      </c>
      <c r="I58" s="8">
        <v>45336</v>
      </c>
      <c r="J58" s="8">
        <v>45302</v>
      </c>
      <c r="K58" t="s">
        <v>19</v>
      </c>
      <c r="L58" t="s">
        <v>914</v>
      </c>
      <c r="M58">
        <f t="shared" si="0"/>
        <v>-34</v>
      </c>
      <c r="N58" s="9">
        <f t="shared" si="1"/>
        <v>0</v>
      </c>
      <c r="O58" s="10" t="str">
        <f t="shared" si="2"/>
        <v>18-25</v>
      </c>
    </row>
    <row r="59" spans="1:15" x14ac:dyDescent="0.3">
      <c r="A59">
        <v>1387</v>
      </c>
      <c r="B59" t="s">
        <v>657</v>
      </c>
      <c r="C59" s="3">
        <v>22</v>
      </c>
      <c r="D59" t="s">
        <v>54</v>
      </c>
      <c r="E59" t="s">
        <v>155</v>
      </c>
      <c r="F59" s="5" t="s">
        <v>680</v>
      </c>
      <c r="G59" s="3" t="s">
        <v>35</v>
      </c>
      <c r="H59" t="s">
        <v>912</v>
      </c>
      <c r="I59" s="8">
        <v>45632</v>
      </c>
      <c r="J59" s="8">
        <v>45297</v>
      </c>
      <c r="K59" t="s">
        <v>39</v>
      </c>
      <c r="L59" t="s">
        <v>919</v>
      </c>
      <c r="M59">
        <f t="shared" si="0"/>
        <v>-335</v>
      </c>
      <c r="N59" s="9">
        <f t="shared" si="1"/>
        <v>1</v>
      </c>
      <c r="O59" s="10" t="str">
        <f t="shared" si="2"/>
        <v>18-25</v>
      </c>
    </row>
    <row r="60" spans="1:15" x14ac:dyDescent="0.3">
      <c r="A60">
        <v>1106</v>
      </c>
      <c r="B60" t="s">
        <v>657</v>
      </c>
      <c r="C60" s="3">
        <v>21</v>
      </c>
      <c r="D60" t="s">
        <v>23</v>
      </c>
      <c r="E60" t="s">
        <v>83</v>
      </c>
      <c r="F60" s="5" t="s">
        <v>820</v>
      </c>
      <c r="G60" s="3" t="s">
        <v>65</v>
      </c>
      <c r="H60" t="s">
        <v>911</v>
      </c>
      <c r="I60" s="8">
        <v>45386</v>
      </c>
      <c r="J60" s="8">
        <v>45348</v>
      </c>
      <c r="K60" t="s">
        <v>19</v>
      </c>
      <c r="L60" t="s">
        <v>917</v>
      </c>
      <c r="M60">
        <f t="shared" si="0"/>
        <v>-38</v>
      </c>
      <c r="N60" s="9">
        <f t="shared" si="1"/>
        <v>0</v>
      </c>
      <c r="O60" s="10" t="str">
        <f t="shared" si="2"/>
        <v>18-25</v>
      </c>
    </row>
    <row r="61" spans="1:15" x14ac:dyDescent="0.3">
      <c r="A61">
        <v>1325</v>
      </c>
      <c r="B61" t="s">
        <v>657</v>
      </c>
      <c r="C61" s="3">
        <v>21</v>
      </c>
      <c r="D61" t="s">
        <v>54</v>
      </c>
      <c r="E61" t="s">
        <v>155</v>
      </c>
      <c r="F61" s="5" t="s">
        <v>867</v>
      </c>
      <c r="G61" s="3">
        <v>5</v>
      </c>
      <c r="H61" t="s">
        <v>16</v>
      </c>
      <c r="I61" s="8">
        <v>45429</v>
      </c>
      <c r="J61" s="8">
        <v>45365</v>
      </c>
      <c r="K61" t="s">
        <v>39</v>
      </c>
      <c r="L61" t="s">
        <v>919</v>
      </c>
      <c r="M61">
        <f t="shared" si="0"/>
        <v>-64</v>
      </c>
      <c r="N61" s="9">
        <f t="shared" si="1"/>
        <v>1</v>
      </c>
      <c r="O61" s="10" t="str">
        <f t="shared" si="2"/>
        <v>18-25</v>
      </c>
    </row>
    <row r="62" spans="1:15" x14ac:dyDescent="0.3">
      <c r="A62">
        <v>1064</v>
      </c>
      <c r="B62" t="s">
        <v>660</v>
      </c>
      <c r="C62" s="3">
        <v>22</v>
      </c>
      <c r="D62" t="s">
        <v>661</v>
      </c>
      <c r="E62" t="s">
        <v>24</v>
      </c>
      <c r="F62" s="5" t="s">
        <v>868</v>
      </c>
      <c r="G62" s="3" t="s">
        <v>70</v>
      </c>
      <c r="H62" t="s">
        <v>912</v>
      </c>
      <c r="I62" s="8">
        <v>45444</v>
      </c>
      <c r="J62" s="8">
        <v>45358</v>
      </c>
      <c r="K62" t="s">
        <v>39</v>
      </c>
      <c r="L62" t="s">
        <v>917</v>
      </c>
      <c r="M62">
        <f t="shared" si="0"/>
        <v>-86</v>
      </c>
      <c r="N62" s="9">
        <f t="shared" si="1"/>
        <v>1</v>
      </c>
      <c r="O62" s="10" t="str">
        <f t="shared" si="2"/>
        <v>18-25</v>
      </c>
    </row>
    <row r="63" spans="1:15" x14ac:dyDescent="0.3">
      <c r="A63">
        <v>1331</v>
      </c>
      <c r="B63" t="s">
        <v>116</v>
      </c>
      <c r="C63" s="3">
        <v>25</v>
      </c>
      <c r="D63" t="s">
        <v>23</v>
      </c>
      <c r="E63" t="s">
        <v>83</v>
      </c>
      <c r="F63" s="5" t="s">
        <v>681</v>
      </c>
      <c r="G63" s="3" t="s">
        <v>70</v>
      </c>
      <c r="H63" t="s">
        <v>912</v>
      </c>
      <c r="I63" s="8">
        <v>45429</v>
      </c>
      <c r="J63" s="8">
        <v>45410</v>
      </c>
      <c r="K63" t="s">
        <v>39</v>
      </c>
      <c r="L63" t="s">
        <v>916</v>
      </c>
      <c r="M63">
        <f t="shared" si="0"/>
        <v>-19</v>
      </c>
      <c r="N63" s="9">
        <f t="shared" si="1"/>
        <v>1</v>
      </c>
      <c r="O63" s="10" t="str">
        <f t="shared" si="2"/>
        <v>18-25</v>
      </c>
    </row>
    <row r="64" spans="1:15" x14ac:dyDescent="0.3">
      <c r="A64">
        <v>1418</v>
      </c>
      <c r="B64" t="s">
        <v>116</v>
      </c>
      <c r="C64" s="3">
        <v>19</v>
      </c>
      <c r="D64" t="s">
        <v>54</v>
      </c>
      <c r="E64" t="s">
        <v>83</v>
      </c>
      <c r="F64" s="5" t="s">
        <v>682</v>
      </c>
      <c r="G64" s="3" t="s">
        <v>65</v>
      </c>
      <c r="H64" t="s">
        <v>912</v>
      </c>
      <c r="I64" s="8">
        <v>45427</v>
      </c>
      <c r="J64" s="8">
        <v>45402</v>
      </c>
      <c r="K64" t="s">
        <v>19</v>
      </c>
      <c r="L64" t="s">
        <v>916</v>
      </c>
      <c r="M64">
        <f t="shared" si="0"/>
        <v>-25</v>
      </c>
      <c r="N64" s="9">
        <f t="shared" si="1"/>
        <v>0</v>
      </c>
      <c r="O64" s="10" t="str">
        <f t="shared" si="2"/>
        <v>18-25</v>
      </c>
    </row>
    <row r="65" spans="1:15" x14ac:dyDescent="0.3">
      <c r="A65">
        <v>1314</v>
      </c>
      <c r="B65" t="s">
        <v>657</v>
      </c>
      <c r="C65" s="3">
        <v>22</v>
      </c>
      <c r="D65" t="s">
        <v>661</v>
      </c>
      <c r="E65" t="s">
        <v>24</v>
      </c>
      <c r="F65" s="5" t="s">
        <v>776</v>
      </c>
      <c r="G65" s="3" t="s">
        <v>65</v>
      </c>
      <c r="H65" t="s">
        <v>27</v>
      </c>
      <c r="I65" s="8">
        <v>45377</v>
      </c>
      <c r="J65" s="8">
        <v>45474</v>
      </c>
      <c r="K65" t="s">
        <v>39</v>
      </c>
      <c r="L65" t="s">
        <v>916</v>
      </c>
      <c r="M65">
        <f t="shared" si="0"/>
        <v>97</v>
      </c>
      <c r="N65" s="9">
        <f t="shared" si="1"/>
        <v>1</v>
      </c>
      <c r="O65" s="10" t="str">
        <f t="shared" si="2"/>
        <v>18-25</v>
      </c>
    </row>
    <row r="66" spans="1:15" x14ac:dyDescent="0.3">
      <c r="A66">
        <v>1394</v>
      </c>
      <c r="B66" t="s">
        <v>660</v>
      </c>
      <c r="C66" s="3">
        <v>18</v>
      </c>
      <c r="D66" t="s">
        <v>23</v>
      </c>
      <c r="E66" t="s">
        <v>83</v>
      </c>
      <c r="F66" s="5" t="s">
        <v>683</v>
      </c>
      <c r="G66" s="3">
        <v>4</v>
      </c>
      <c r="H66" t="s">
        <v>27</v>
      </c>
      <c r="I66" s="8">
        <v>45334</v>
      </c>
      <c r="J66" s="8">
        <v>45536</v>
      </c>
      <c r="K66" t="s">
        <v>39</v>
      </c>
      <c r="L66" t="s">
        <v>916</v>
      </c>
      <c r="M66">
        <f t="shared" ref="M66:M129" si="3">J66-I66</f>
        <v>202</v>
      </c>
      <c r="N66" s="9">
        <f t="shared" ref="N66:N129" si="4">IF(K66="Active", 1, 0)</f>
        <v>1</v>
      </c>
      <c r="O66" s="10" t="str">
        <f t="shared" ref="O66:O129" si="5">IF(C66&lt;=25, "18-25", IF(C66&lt;=35, "26-35", IF(C66&lt;=50, "36-50", "51+")))</f>
        <v>18-25</v>
      </c>
    </row>
    <row r="67" spans="1:15" x14ac:dyDescent="0.3">
      <c r="A67">
        <v>1278</v>
      </c>
      <c r="B67" t="s">
        <v>116</v>
      </c>
      <c r="C67" s="3">
        <v>19</v>
      </c>
      <c r="D67" t="s">
        <v>54</v>
      </c>
      <c r="E67" t="s">
        <v>155</v>
      </c>
      <c r="F67" s="5" t="s">
        <v>777</v>
      </c>
      <c r="G67" s="3" t="s">
        <v>65</v>
      </c>
      <c r="H67" t="s">
        <v>16</v>
      </c>
      <c r="I67" s="8">
        <v>45354</v>
      </c>
      <c r="J67" s="8">
        <v>45330</v>
      </c>
      <c r="K67" t="s">
        <v>913</v>
      </c>
      <c r="L67" t="s">
        <v>917</v>
      </c>
      <c r="M67">
        <f t="shared" si="3"/>
        <v>-24</v>
      </c>
      <c r="N67" s="9">
        <f t="shared" si="4"/>
        <v>0</v>
      </c>
      <c r="O67" s="10" t="str">
        <f t="shared" si="5"/>
        <v>18-25</v>
      </c>
    </row>
    <row r="68" spans="1:15" x14ac:dyDescent="0.3">
      <c r="A68">
        <v>1205</v>
      </c>
      <c r="B68" t="s">
        <v>657</v>
      </c>
      <c r="C68" s="3">
        <v>22</v>
      </c>
      <c r="D68" t="s">
        <v>54</v>
      </c>
      <c r="E68" t="s">
        <v>83</v>
      </c>
      <c r="F68" s="5" t="s">
        <v>778</v>
      </c>
      <c r="G68" s="3">
        <v>5</v>
      </c>
      <c r="H68" t="s">
        <v>16</v>
      </c>
      <c r="I68" s="8">
        <v>45372</v>
      </c>
      <c r="J68" s="8">
        <v>45339</v>
      </c>
      <c r="K68" t="s">
        <v>39</v>
      </c>
      <c r="L68" t="s">
        <v>919</v>
      </c>
      <c r="M68">
        <f t="shared" si="3"/>
        <v>-33</v>
      </c>
      <c r="N68" s="9">
        <f t="shared" si="4"/>
        <v>1</v>
      </c>
      <c r="O68" s="10" t="str">
        <f t="shared" si="5"/>
        <v>18-25</v>
      </c>
    </row>
    <row r="69" spans="1:15" x14ac:dyDescent="0.3">
      <c r="A69">
        <v>1146</v>
      </c>
      <c r="B69" t="s">
        <v>116</v>
      </c>
      <c r="C69" s="3">
        <v>25</v>
      </c>
      <c r="D69" t="s">
        <v>661</v>
      </c>
      <c r="E69" t="s">
        <v>83</v>
      </c>
      <c r="F69" s="5" t="s">
        <v>684</v>
      </c>
      <c r="G69" s="3">
        <v>1</v>
      </c>
      <c r="H69" t="s">
        <v>912</v>
      </c>
      <c r="I69" s="8">
        <v>45418</v>
      </c>
      <c r="J69" s="8">
        <v>45295</v>
      </c>
      <c r="K69" t="s">
        <v>68</v>
      </c>
      <c r="L69" t="s">
        <v>918</v>
      </c>
      <c r="M69">
        <f t="shared" si="3"/>
        <v>-123</v>
      </c>
      <c r="N69" s="9">
        <f t="shared" si="4"/>
        <v>0</v>
      </c>
      <c r="O69" s="10" t="str">
        <f t="shared" si="5"/>
        <v>18-25</v>
      </c>
    </row>
    <row r="70" spans="1:15" x14ac:dyDescent="0.3">
      <c r="A70">
        <v>1484</v>
      </c>
      <c r="B70" t="s">
        <v>659</v>
      </c>
      <c r="C70" s="3">
        <v>22</v>
      </c>
      <c r="D70" t="s">
        <v>54</v>
      </c>
      <c r="E70" t="s">
        <v>24</v>
      </c>
      <c r="F70" s="5" t="s">
        <v>869</v>
      </c>
      <c r="G70" s="3">
        <v>5</v>
      </c>
      <c r="H70" t="s">
        <v>16</v>
      </c>
      <c r="I70" s="8">
        <v>45376</v>
      </c>
      <c r="J70" s="8">
        <v>45297</v>
      </c>
      <c r="K70" t="s">
        <v>913</v>
      </c>
      <c r="L70" t="s">
        <v>918</v>
      </c>
      <c r="M70">
        <f t="shared" si="3"/>
        <v>-79</v>
      </c>
      <c r="N70" s="9">
        <f t="shared" si="4"/>
        <v>0</v>
      </c>
      <c r="O70" s="10" t="str">
        <f t="shared" si="5"/>
        <v>18-25</v>
      </c>
    </row>
    <row r="71" spans="1:15" x14ac:dyDescent="0.3">
      <c r="A71">
        <v>1271</v>
      </c>
      <c r="B71" t="s">
        <v>21</v>
      </c>
      <c r="C71" s="3">
        <v>22</v>
      </c>
      <c r="D71" t="s">
        <v>54</v>
      </c>
      <c r="E71" t="s">
        <v>83</v>
      </c>
      <c r="F71" s="5" t="s">
        <v>779</v>
      </c>
      <c r="G71" s="3">
        <v>5</v>
      </c>
      <c r="H71" t="s">
        <v>912</v>
      </c>
      <c r="I71" s="8">
        <v>45383</v>
      </c>
      <c r="J71" s="8">
        <v>45301</v>
      </c>
      <c r="K71" t="s">
        <v>39</v>
      </c>
      <c r="L71" t="s">
        <v>918</v>
      </c>
      <c r="M71">
        <f t="shared" si="3"/>
        <v>-82</v>
      </c>
      <c r="N71" s="9">
        <f t="shared" si="4"/>
        <v>1</v>
      </c>
      <c r="O71" s="10" t="str">
        <f t="shared" si="5"/>
        <v>18-25</v>
      </c>
    </row>
    <row r="72" spans="1:15" x14ac:dyDescent="0.3">
      <c r="A72">
        <v>1491</v>
      </c>
      <c r="B72" t="s">
        <v>21</v>
      </c>
      <c r="C72" s="3">
        <v>22</v>
      </c>
      <c r="D72" t="s">
        <v>661</v>
      </c>
      <c r="E72" t="s">
        <v>24</v>
      </c>
      <c r="F72" s="5" t="s">
        <v>870</v>
      </c>
      <c r="G72" s="3">
        <v>4</v>
      </c>
      <c r="H72" t="s">
        <v>912</v>
      </c>
      <c r="I72" s="8">
        <v>45414</v>
      </c>
      <c r="J72" s="8">
        <v>45325</v>
      </c>
      <c r="K72" t="s">
        <v>39</v>
      </c>
      <c r="L72" t="s">
        <v>916</v>
      </c>
      <c r="M72">
        <f t="shared" si="3"/>
        <v>-89</v>
      </c>
      <c r="N72" s="9">
        <f t="shared" si="4"/>
        <v>1</v>
      </c>
      <c r="O72" s="10" t="str">
        <f t="shared" si="5"/>
        <v>18-25</v>
      </c>
    </row>
    <row r="73" spans="1:15" x14ac:dyDescent="0.3">
      <c r="A73">
        <v>1411</v>
      </c>
      <c r="B73" t="s">
        <v>21</v>
      </c>
      <c r="C73" s="3">
        <v>22</v>
      </c>
      <c r="D73" t="s">
        <v>54</v>
      </c>
      <c r="E73" t="s">
        <v>24</v>
      </c>
      <c r="F73" s="5" t="s">
        <v>871</v>
      </c>
      <c r="G73" s="3">
        <v>1</v>
      </c>
      <c r="H73" t="s">
        <v>911</v>
      </c>
      <c r="I73" s="8">
        <v>45417</v>
      </c>
      <c r="J73" s="8">
        <v>45340</v>
      </c>
      <c r="K73" t="s">
        <v>39</v>
      </c>
      <c r="L73" t="s">
        <v>919</v>
      </c>
      <c r="M73">
        <f t="shared" si="3"/>
        <v>-77</v>
      </c>
      <c r="N73" s="9">
        <f t="shared" si="4"/>
        <v>1</v>
      </c>
      <c r="O73" s="10" t="str">
        <f t="shared" si="5"/>
        <v>18-25</v>
      </c>
    </row>
    <row r="74" spans="1:15" x14ac:dyDescent="0.3">
      <c r="A74">
        <v>1253</v>
      </c>
      <c r="B74" t="s">
        <v>135</v>
      </c>
      <c r="C74" s="3">
        <v>22</v>
      </c>
      <c r="D74" t="s">
        <v>661</v>
      </c>
      <c r="E74" t="s">
        <v>83</v>
      </c>
      <c r="F74" s="5" t="s">
        <v>685</v>
      </c>
      <c r="G74" s="3" t="s">
        <v>70</v>
      </c>
      <c r="H74" t="s">
        <v>912</v>
      </c>
      <c r="I74" s="8">
        <v>45332</v>
      </c>
      <c r="J74" s="8">
        <v>45294</v>
      </c>
      <c r="K74" t="s">
        <v>68</v>
      </c>
      <c r="L74" t="s">
        <v>915</v>
      </c>
      <c r="M74">
        <f t="shared" si="3"/>
        <v>-38</v>
      </c>
      <c r="N74" s="9">
        <f t="shared" si="4"/>
        <v>0</v>
      </c>
      <c r="O74" s="10" t="str">
        <f t="shared" si="5"/>
        <v>18-25</v>
      </c>
    </row>
    <row r="75" spans="1:15" x14ac:dyDescent="0.3">
      <c r="A75">
        <v>1492</v>
      </c>
      <c r="B75" t="s">
        <v>11</v>
      </c>
      <c r="C75" s="3">
        <v>22</v>
      </c>
      <c r="D75" t="s">
        <v>54</v>
      </c>
      <c r="E75" t="s">
        <v>166</v>
      </c>
      <c r="F75" s="5" t="s">
        <v>821</v>
      </c>
      <c r="G75" s="3" t="s">
        <v>65</v>
      </c>
      <c r="H75" t="s">
        <v>911</v>
      </c>
      <c r="I75" s="8">
        <v>45310</v>
      </c>
      <c r="J75" s="8">
        <v>45332</v>
      </c>
      <c r="K75" t="s">
        <v>19</v>
      </c>
      <c r="L75" t="s">
        <v>915</v>
      </c>
      <c r="M75">
        <f t="shared" si="3"/>
        <v>22</v>
      </c>
      <c r="N75" s="9">
        <f t="shared" si="4"/>
        <v>0</v>
      </c>
      <c r="O75" s="10" t="str">
        <f t="shared" si="5"/>
        <v>18-25</v>
      </c>
    </row>
    <row r="76" spans="1:15" x14ac:dyDescent="0.3">
      <c r="A76">
        <v>1158</v>
      </c>
      <c r="B76" t="s">
        <v>116</v>
      </c>
      <c r="C76" s="3">
        <v>21</v>
      </c>
      <c r="D76" t="s">
        <v>661</v>
      </c>
      <c r="E76" t="s">
        <v>166</v>
      </c>
      <c r="F76" s="5" t="s">
        <v>872</v>
      </c>
      <c r="G76" s="3">
        <v>1</v>
      </c>
      <c r="H76" t="s">
        <v>16</v>
      </c>
      <c r="I76" s="8">
        <v>45379</v>
      </c>
      <c r="J76" s="8">
        <v>45471</v>
      </c>
      <c r="K76" t="s">
        <v>39</v>
      </c>
      <c r="L76" t="s">
        <v>917</v>
      </c>
      <c r="M76">
        <f t="shared" si="3"/>
        <v>92</v>
      </c>
      <c r="N76" s="9">
        <f t="shared" si="4"/>
        <v>1</v>
      </c>
      <c r="O76" s="10" t="str">
        <f t="shared" si="5"/>
        <v>18-25</v>
      </c>
    </row>
    <row r="77" spans="1:15" x14ac:dyDescent="0.3">
      <c r="A77">
        <v>1180</v>
      </c>
      <c r="B77" t="s">
        <v>21</v>
      </c>
      <c r="C77" s="3">
        <v>22</v>
      </c>
      <c r="D77" t="s">
        <v>54</v>
      </c>
      <c r="E77" t="s">
        <v>24</v>
      </c>
      <c r="F77" s="5" t="s">
        <v>822</v>
      </c>
      <c r="G77" s="3" t="s">
        <v>15</v>
      </c>
      <c r="H77" t="s">
        <v>912</v>
      </c>
      <c r="I77" s="8">
        <v>45416</v>
      </c>
      <c r="J77" s="8">
        <v>45418</v>
      </c>
      <c r="K77" t="s">
        <v>39</v>
      </c>
      <c r="L77" t="s">
        <v>918</v>
      </c>
      <c r="M77">
        <f t="shared" si="3"/>
        <v>2</v>
      </c>
      <c r="N77" s="9">
        <f t="shared" si="4"/>
        <v>1</v>
      </c>
      <c r="O77" s="10" t="str">
        <f t="shared" si="5"/>
        <v>18-25</v>
      </c>
    </row>
    <row r="78" spans="1:15" x14ac:dyDescent="0.3">
      <c r="A78">
        <v>1070</v>
      </c>
      <c r="B78" t="s">
        <v>659</v>
      </c>
      <c r="C78" s="3">
        <v>22</v>
      </c>
      <c r="D78" t="s">
        <v>23</v>
      </c>
      <c r="E78" t="s">
        <v>166</v>
      </c>
      <c r="F78" s="5" t="s">
        <v>823</v>
      </c>
      <c r="G78" s="3" t="s">
        <v>65</v>
      </c>
      <c r="H78" t="s">
        <v>16</v>
      </c>
      <c r="I78" s="8">
        <v>45304</v>
      </c>
      <c r="J78" s="8">
        <v>45389</v>
      </c>
      <c r="K78" t="s">
        <v>39</v>
      </c>
      <c r="L78" t="s">
        <v>919</v>
      </c>
      <c r="M78">
        <f t="shared" si="3"/>
        <v>85</v>
      </c>
      <c r="N78" s="9">
        <f t="shared" si="4"/>
        <v>1</v>
      </c>
      <c r="O78" s="10" t="str">
        <f t="shared" si="5"/>
        <v>18-25</v>
      </c>
    </row>
    <row r="79" spans="1:15" x14ac:dyDescent="0.3">
      <c r="A79">
        <v>1365</v>
      </c>
      <c r="B79" t="s">
        <v>21</v>
      </c>
      <c r="C79" s="3">
        <v>24</v>
      </c>
      <c r="D79" t="s">
        <v>661</v>
      </c>
      <c r="E79" t="s">
        <v>155</v>
      </c>
      <c r="F79" s="5" t="s">
        <v>686</v>
      </c>
      <c r="G79" s="3">
        <v>1</v>
      </c>
      <c r="H79" t="s">
        <v>911</v>
      </c>
      <c r="I79" s="8">
        <v>45445</v>
      </c>
      <c r="J79" s="8">
        <v>45374</v>
      </c>
      <c r="K79" t="s">
        <v>913</v>
      </c>
      <c r="L79" t="s">
        <v>916</v>
      </c>
      <c r="M79">
        <f t="shared" si="3"/>
        <v>-71</v>
      </c>
      <c r="N79" s="9">
        <f t="shared" si="4"/>
        <v>0</v>
      </c>
      <c r="O79" s="10" t="str">
        <f t="shared" si="5"/>
        <v>18-25</v>
      </c>
    </row>
    <row r="80" spans="1:15" x14ac:dyDescent="0.3">
      <c r="A80">
        <v>1371</v>
      </c>
      <c r="B80" t="s">
        <v>657</v>
      </c>
      <c r="C80" s="3">
        <v>22</v>
      </c>
      <c r="D80" t="s">
        <v>23</v>
      </c>
      <c r="E80" t="s">
        <v>83</v>
      </c>
      <c r="F80" s="5" t="s">
        <v>824</v>
      </c>
      <c r="G80" s="3" t="s">
        <v>35</v>
      </c>
      <c r="H80" t="s">
        <v>912</v>
      </c>
      <c r="I80" s="8">
        <v>45373</v>
      </c>
      <c r="J80" s="8">
        <v>45465</v>
      </c>
      <c r="K80" t="s">
        <v>39</v>
      </c>
      <c r="L80" t="s">
        <v>918</v>
      </c>
      <c r="M80">
        <f t="shared" si="3"/>
        <v>92</v>
      </c>
      <c r="N80" s="9">
        <f t="shared" si="4"/>
        <v>1</v>
      </c>
      <c r="O80" s="10" t="str">
        <f t="shared" si="5"/>
        <v>18-25</v>
      </c>
    </row>
    <row r="81" spans="1:15" x14ac:dyDescent="0.3">
      <c r="A81">
        <v>1154</v>
      </c>
      <c r="B81" t="s">
        <v>135</v>
      </c>
      <c r="C81" s="3">
        <v>25</v>
      </c>
      <c r="D81" t="s">
        <v>661</v>
      </c>
      <c r="E81" t="s">
        <v>166</v>
      </c>
      <c r="F81" s="5" t="s">
        <v>780</v>
      </c>
      <c r="G81" s="3" t="s">
        <v>35</v>
      </c>
      <c r="H81" t="s">
        <v>911</v>
      </c>
      <c r="I81" s="8">
        <v>45364</v>
      </c>
      <c r="J81" s="8">
        <v>45470</v>
      </c>
      <c r="K81" t="s">
        <v>39</v>
      </c>
      <c r="L81" t="s">
        <v>915</v>
      </c>
      <c r="M81">
        <f t="shared" si="3"/>
        <v>106</v>
      </c>
      <c r="N81" s="9">
        <f t="shared" si="4"/>
        <v>1</v>
      </c>
      <c r="O81" s="10" t="str">
        <f t="shared" si="5"/>
        <v>18-25</v>
      </c>
    </row>
    <row r="82" spans="1:15" x14ac:dyDescent="0.3">
      <c r="A82">
        <v>1208</v>
      </c>
      <c r="B82" t="s">
        <v>657</v>
      </c>
      <c r="C82" s="3">
        <v>25</v>
      </c>
      <c r="D82" t="s">
        <v>661</v>
      </c>
      <c r="E82" t="s">
        <v>83</v>
      </c>
      <c r="F82" s="5" t="s">
        <v>687</v>
      </c>
      <c r="G82" s="3">
        <v>1</v>
      </c>
      <c r="H82" t="s">
        <v>27</v>
      </c>
      <c r="I82" s="8">
        <v>45342</v>
      </c>
      <c r="J82" s="8">
        <v>45369</v>
      </c>
      <c r="K82" t="s">
        <v>39</v>
      </c>
      <c r="L82" t="s">
        <v>918</v>
      </c>
      <c r="M82">
        <f t="shared" si="3"/>
        <v>27</v>
      </c>
      <c r="N82" s="9">
        <f t="shared" si="4"/>
        <v>1</v>
      </c>
      <c r="O82" s="10" t="str">
        <f t="shared" si="5"/>
        <v>18-25</v>
      </c>
    </row>
    <row r="83" spans="1:15" x14ac:dyDescent="0.3">
      <c r="A83">
        <v>1390</v>
      </c>
      <c r="B83" t="s">
        <v>657</v>
      </c>
      <c r="C83" s="3">
        <v>25</v>
      </c>
      <c r="D83" t="s">
        <v>23</v>
      </c>
      <c r="E83" t="s">
        <v>83</v>
      </c>
      <c r="F83" s="5" t="s">
        <v>688</v>
      </c>
      <c r="G83" s="3">
        <v>5</v>
      </c>
      <c r="H83" t="s">
        <v>911</v>
      </c>
      <c r="I83" s="8">
        <v>45446</v>
      </c>
      <c r="J83" s="8">
        <v>45319</v>
      </c>
      <c r="K83" t="s">
        <v>39</v>
      </c>
      <c r="L83" t="s">
        <v>919</v>
      </c>
      <c r="M83">
        <f t="shared" si="3"/>
        <v>-127</v>
      </c>
      <c r="N83" s="9">
        <f t="shared" si="4"/>
        <v>1</v>
      </c>
      <c r="O83" s="10" t="str">
        <f t="shared" si="5"/>
        <v>18-25</v>
      </c>
    </row>
    <row r="84" spans="1:15" x14ac:dyDescent="0.3">
      <c r="A84">
        <v>1270</v>
      </c>
      <c r="B84" t="s">
        <v>660</v>
      </c>
      <c r="C84" s="3">
        <v>22</v>
      </c>
      <c r="D84" t="s">
        <v>661</v>
      </c>
      <c r="E84" t="s">
        <v>24</v>
      </c>
      <c r="F84" s="5" t="s">
        <v>825</v>
      </c>
      <c r="G84" s="3">
        <v>5</v>
      </c>
      <c r="H84" t="s">
        <v>912</v>
      </c>
      <c r="I84" s="8">
        <v>45319</v>
      </c>
      <c r="J84" s="8">
        <v>45540</v>
      </c>
      <c r="K84" t="s">
        <v>39</v>
      </c>
      <c r="L84" t="s">
        <v>914</v>
      </c>
      <c r="M84">
        <f t="shared" si="3"/>
        <v>221</v>
      </c>
      <c r="N84" s="9">
        <f t="shared" si="4"/>
        <v>1</v>
      </c>
      <c r="O84" s="10" t="str">
        <f t="shared" si="5"/>
        <v>18-25</v>
      </c>
    </row>
    <row r="85" spans="1:15" x14ac:dyDescent="0.3">
      <c r="A85">
        <v>1255</v>
      </c>
      <c r="B85" t="s">
        <v>116</v>
      </c>
      <c r="C85" s="3">
        <v>22</v>
      </c>
      <c r="D85" t="s">
        <v>23</v>
      </c>
      <c r="E85" t="s">
        <v>155</v>
      </c>
      <c r="F85" s="5" t="s">
        <v>781</v>
      </c>
      <c r="G85" s="3" t="s">
        <v>49</v>
      </c>
      <c r="H85" t="s">
        <v>911</v>
      </c>
      <c r="I85" s="8">
        <v>45466</v>
      </c>
      <c r="J85" s="8">
        <v>45467</v>
      </c>
      <c r="K85" t="s">
        <v>19</v>
      </c>
      <c r="L85" t="s">
        <v>917</v>
      </c>
      <c r="M85">
        <f t="shared" si="3"/>
        <v>1</v>
      </c>
      <c r="N85" s="9">
        <f t="shared" si="4"/>
        <v>0</v>
      </c>
      <c r="O85" s="10" t="str">
        <f t="shared" si="5"/>
        <v>18-25</v>
      </c>
    </row>
    <row r="86" spans="1:15" x14ac:dyDescent="0.3">
      <c r="A86">
        <v>1244</v>
      </c>
      <c r="B86" t="s">
        <v>21</v>
      </c>
      <c r="C86" s="3">
        <v>25</v>
      </c>
      <c r="D86" t="s">
        <v>661</v>
      </c>
      <c r="E86" t="s">
        <v>166</v>
      </c>
      <c r="F86" s="5" t="s">
        <v>782</v>
      </c>
      <c r="G86" s="3">
        <v>4</v>
      </c>
      <c r="H86" t="s">
        <v>912</v>
      </c>
      <c r="I86" s="8">
        <v>45507</v>
      </c>
      <c r="J86" s="8">
        <v>45415</v>
      </c>
      <c r="K86" t="s">
        <v>913</v>
      </c>
      <c r="L86" t="s">
        <v>917</v>
      </c>
      <c r="M86">
        <f t="shared" si="3"/>
        <v>-92</v>
      </c>
      <c r="N86" s="9">
        <f t="shared" si="4"/>
        <v>0</v>
      </c>
      <c r="O86" s="10" t="str">
        <f t="shared" si="5"/>
        <v>18-25</v>
      </c>
    </row>
    <row r="87" spans="1:15" x14ac:dyDescent="0.3">
      <c r="A87">
        <v>1359</v>
      </c>
      <c r="B87" t="s">
        <v>659</v>
      </c>
      <c r="C87" s="3">
        <v>22</v>
      </c>
      <c r="D87" t="s">
        <v>23</v>
      </c>
      <c r="E87" t="s">
        <v>83</v>
      </c>
      <c r="F87" s="5" t="s">
        <v>873</v>
      </c>
      <c r="G87" s="3" t="s">
        <v>70</v>
      </c>
      <c r="H87" t="s">
        <v>912</v>
      </c>
      <c r="I87" s="8">
        <v>45599</v>
      </c>
      <c r="J87" s="8">
        <v>45341</v>
      </c>
      <c r="K87" t="s">
        <v>19</v>
      </c>
      <c r="L87" t="s">
        <v>916</v>
      </c>
      <c r="M87">
        <f t="shared" si="3"/>
        <v>-258</v>
      </c>
      <c r="N87" s="9">
        <f t="shared" si="4"/>
        <v>0</v>
      </c>
      <c r="O87" s="10" t="str">
        <f t="shared" si="5"/>
        <v>18-25</v>
      </c>
    </row>
    <row r="88" spans="1:15" x14ac:dyDescent="0.3">
      <c r="A88">
        <v>1459</v>
      </c>
      <c r="B88" t="s">
        <v>116</v>
      </c>
      <c r="C88" s="3">
        <v>22</v>
      </c>
      <c r="D88" t="s">
        <v>23</v>
      </c>
      <c r="E88" t="s">
        <v>155</v>
      </c>
      <c r="F88" s="5" t="s">
        <v>689</v>
      </c>
      <c r="G88" s="3">
        <v>1</v>
      </c>
      <c r="H88" t="s">
        <v>912</v>
      </c>
      <c r="I88" s="8">
        <v>45328</v>
      </c>
      <c r="J88" s="8">
        <v>45598</v>
      </c>
      <c r="K88" t="s">
        <v>19</v>
      </c>
      <c r="L88" t="s">
        <v>918</v>
      </c>
      <c r="M88">
        <f t="shared" si="3"/>
        <v>270</v>
      </c>
      <c r="N88" s="9">
        <f t="shared" si="4"/>
        <v>0</v>
      </c>
      <c r="O88" s="10" t="str">
        <f t="shared" si="5"/>
        <v>18-25</v>
      </c>
    </row>
    <row r="89" spans="1:15" x14ac:dyDescent="0.3">
      <c r="A89">
        <v>1438</v>
      </c>
      <c r="B89" t="s">
        <v>116</v>
      </c>
      <c r="C89" s="3">
        <v>18</v>
      </c>
      <c r="D89" t="s">
        <v>54</v>
      </c>
      <c r="E89" t="s">
        <v>24</v>
      </c>
      <c r="F89" s="5" t="s">
        <v>783</v>
      </c>
      <c r="G89" s="3">
        <v>5</v>
      </c>
      <c r="H89" t="s">
        <v>911</v>
      </c>
      <c r="I89" s="8">
        <v>45339</v>
      </c>
      <c r="J89" s="8">
        <v>45428</v>
      </c>
      <c r="K89" t="s">
        <v>39</v>
      </c>
      <c r="L89" t="s">
        <v>915</v>
      </c>
      <c r="M89">
        <f t="shared" si="3"/>
        <v>89</v>
      </c>
      <c r="N89" s="9">
        <f t="shared" si="4"/>
        <v>1</v>
      </c>
      <c r="O89" s="10" t="str">
        <f t="shared" si="5"/>
        <v>18-25</v>
      </c>
    </row>
    <row r="90" spans="1:15" x14ac:dyDescent="0.3">
      <c r="A90">
        <v>1455</v>
      </c>
      <c r="B90" t="s">
        <v>116</v>
      </c>
      <c r="C90" s="3">
        <v>25</v>
      </c>
      <c r="D90" t="s">
        <v>54</v>
      </c>
      <c r="E90" t="s">
        <v>155</v>
      </c>
      <c r="F90" s="5" t="s">
        <v>690</v>
      </c>
      <c r="G90" s="3">
        <v>1</v>
      </c>
      <c r="H90" t="s">
        <v>912</v>
      </c>
      <c r="I90" s="8">
        <v>45399</v>
      </c>
      <c r="J90" s="8">
        <v>45348</v>
      </c>
      <c r="K90" t="s">
        <v>19</v>
      </c>
      <c r="L90" t="s">
        <v>916</v>
      </c>
      <c r="M90">
        <f t="shared" si="3"/>
        <v>-51</v>
      </c>
      <c r="N90" s="9">
        <f t="shared" si="4"/>
        <v>0</v>
      </c>
      <c r="O90" s="10" t="str">
        <f t="shared" si="5"/>
        <v>18-25</v>
      </c>
    </row>
    <row r="91" spans="1:15" x14ac:dyDescent="0.3">
      <c r="A91">
        <v>1129</v>
      </c>
      <c r="B91" t="s">
        <v>659</v>
      </c>
      <c r="C91" s="3">
        <v>22</v>
      </c>
      <c r="D91" t="s">
        <v>23</v>
      </c>
      <c r="E91" t="s">
        <v>155</v>
      </c>
      <c r="F91" s="5" t="s">
        <v>784</v>
      </c>
      <c r="G91" s="3">
        <v>1</v>
      </c>
      <c r="H91" t="s">
        <v>912</v>
      </c>
      <c r="I91" s="8">
        <v>45406</v>
      </c>
      <c r="J91" s="8">
        <v>45439</v>
      </c>
      <c r="K91" t="s">
        <v>39</v>
      </c>
      <c r="L91" t="s">
        <v>919</v>
      </c>
      <c r="M91">
        <f t="shared" si="3"/>
        <v>33</v>
      </c>
      <c r="N91" s="9">
        <f t="shared" si="4"/>
        <v>1</v>
      </c>
      <c r="O91" s="10" t="str">
        <f t="shared" si="5"/>
        <v>18-25</v>
      </c>
    </row>
    <row r="92" spans="1:15" x14ac:dyDescent="0.3">
      <c r="A92">
        <v>1043</v>
      </c>
      <c r="B92" t="s">
        <v>660</v>
      </c>
      <c r="C92" s="3">
        <v>22</v>
      </c>
      <c r="D92" t="s">
        <v>23</v>
      </c>
      <c r="E92" t="s">
        <v>83</v>
      </c>
      <c r="F92" s="5" t="s">
        <v>874</v>
      </c>
      <c r="G92" s="3">
        <v>4</v>
      </c>
      <c r="H92" t="s">
        <v>911</v>
      </c>
      <c r="I92" s="8">
        <v>45445</v>
      </c>
      <c r="J92" s="8">
        <v>45364</v>
      </c>
      <c r="K92" t="s">
        <v>39</v>
      </c>
      <c r="L92" t="s">
        <v>915</v>
      </c>
      <c r="M92">
        <f t="shared" si="3"/>
        <v>-81</v>
      </c>
      <c r="N92" s="9">
        <f t="shared" si="4"/>
        <v>1</v>
      </c>
      <c r="O92" s="10" t="str">
        <f t="shared" si="5"/>
        <v>18-25</v>
      </c>
    </row>
    <row r="93" spans="1:15" x14ac:dyDescent="0.3">
      <c r="A93">
        <v>1186</v>
      </c>
      <c r="B93" t="s">
        <v>660</v>
      </c>
      <c r="C93" s="3">
        <v>22</v>
      </c>
      <c r="D93" t="s">
        <v>661</v>
      </c>
      <c r="E93" t="s">
        <v>166</v>
      </c>
      <c r="F93" s="5" t="s">
        <v>691</v>
      </c>
      <c r="G93" s="3" t="s">
        <v>35</v>
      </c>
      <c r="H93" t="s">
        <v>912</v>
      </c>
      <c r="I93" s="8">
        <v>45567</v>
      </c>
      <c r="J93" s="8">
        <v>45337</v>
      </c>
      <c r="K93" t="s">
        <v>19</v>
      </c>
      <c r="L93" t="s">
        <v>920</v>
      </c>
      <c r="M93">
        <f t="shared" si="3"/>
        <v>-230</v>
      </c>
      <c r="N93" s="9">
        <f t="shared" si="4"/>
        <v>0</v>
      </c>
      <c r="O93" s="10" t="str">
        <f t="shared" si="5"/>
        <v>18-25</v>
      </c>
    </row>
    <row r="94" spans="1:15" x14ac:dyDescent="0.3">
      <c r="A94">
        <v>1357</v>
      </c>
      <c r="B94" t="s">
        <v>21</v>
      </c>
      <c r="C94" s="3">
        <v>24</v>
      </c>
      <c r="D94" t="s">
        <v>54</v>
      </c>
      <c r="E94" t="s">
        <v>83</v>
      </c>
      <c r="F94" s="5" t="s">
        <v>785</v>
      </c>
      <c r="G94" s="3">
        <v>4</v>
      </c>
      <c r="H94" t="s">
        <v>27</v>
      </c>
      <c r="I94" s="8">
        <v>45366</v>
      </c>
      <c r="J94" s="8">
        <v>45395</v>
      </c>
      <c r="K94" t="s">
        <v>39</v>
      </c>
      <c r="L94" t="s">
        <v>920</v>
      </c>
      <c r="M94">
        <f t="shared" si="3"/>
        <v>29</v>
      </c>
      <c r="N94" s="9">
        <f t="shared" si="4"/>
        <v>1</v>
      </c>
      <c r="O94" s="10" t="str">
        <f t="shared" si="5"/>
        <v>18-25</v>
      </c>
    </row>
    <row r="95" spans="1:15" x14ac:dyDescent="0.3">
      <c r="A95">
        <v>1183</v>
      </c>
      <c r="B95" t="s">
        <v>660</v>
      </c>
      <c r="C95" s="3">
        <v>21</v>
      </c>
      <c r="D95" t="s">
        <v>661</v>
      </c>
      <c r="E95" t="s">
        <v>83</v>
      </c>
      <c r="F95" s="5" t="s">
        <v>692</v>
      </c>
      <c r="G95" s="3">
        <v>5</v>
      </c>
      <c r="H95" t="s">
        <v>912</v>
      </c>
      <c r="I95" s="8">
        <v>45405</v>
      </c>
      <c r="J95" s="8">
        <v>45568</v>
      </c>
      <c r="K95" t="s">
        <v>19</v>
      </c>
      <c r="L95" t="s">
        <v>920</v>
      </c>
      <c r="M95">
        <f t="shared" si="3"/>
        <v>163</v>
      </c>
      <c r="N95" s="9">
        <f t="shared" si="4"/>
        <v>0</v>
      </c>
      <c r="O95" s="10" t="str">
        <f t="shared" si="5"/>
        <v>18-25</v>
      </c>
    </row>
    <row r="96" spans="1:15" x14ac:dyDescent="0.3">
      <c r="A96">
        <v>1025</v>
      </c>
      <c r="B96" t="s">
        <v>660</v>
      </c>
      <c r="C96" s="3">
        <v>22</v>
      </c>
      <c r="D96" t="s">
        <v>54</v>
      </c>
      <c r="E96" t="s">
        <v>166</v>
      </c>
      <c r="F96" s="5" t="s">
        <v>875</v>
      </c>
      <c r="G96" s="3">
        <v>1</v>
      </c>
      <c r="H96" t="s">
        <v>16</v>
      </c>
      <c r="I96" s="8">
        <v>45368</v>
      </c>
      <c r="J96" s="8">
        <v>45428</v>
      </c>
      <c r="K96" t="s">
        <v>39</v>
      </c>
      <c r="L96" t="s">
        <v>915</v>
      </c>
      <c r="M96">
        <f t="shared" si="3"/>
        <v>60</v>
      </c>
      <c r="N96" s="9">
        <f t="shared" si="4"/>
        <v>1</v>
      </c>
      <c r="O96" s="10" t="str">
        <f t="shared" si="5"/>
        <v>18-25</v>
      </c>
    </row>
    <row r="97" spans="1:15" x14ac:dyDescent="0.3">
      <c r="A97">
        <v>1434</v>
      </c>
      <c r="B97" t="s">
        <v>135</v>
      </c>
      <c r="C97" s="3">
        <v>19</v>
      </c>
      <c r="D97" t="s">
        <v>23</v>
      </c>
      <c r="E97" t="s">
        <v>24</v>
      </c>
      <c r="F97" s="5" t="s">
        <v>786</v>
      </c>
      <c r="G97" s="3">
        <v>5</v>
      </c>
      <c r="H97" t="s">
        <v>16</v>
      </c>
      <c r="I97" s="8">
        <v>45324</v>
      </c>
      <c r="J97" s="8">
        <v>45426</v>
      </c>
      <c r="K97" t="s">
        <v>68</v>
      </c>
      <c r="L97" t="s">
        <v>918</v>
      </c>
      <c r="M97">
        <f t="shared" si="3"/>
        <v>102</v>
      </c>
      <c r="N97" s="9">
        <f t="shared" si="4"/>
        <v>0</v>
      </c>
      <c r="O97" s="10" t="str">
        <f t="shared" si="5"/>
        <v>18-25</v>
      </c>
    </row>
    <row r="98" spans="1:15" x14ac:dyDescent="0.3">
      <c r="A98">
        <v>1468</v>
      </c>
      <c r="B98" t="s">
        <v>11</v>
      </c>
      <c r="C98" s="3">
        <v>19</v>
      </c>
      <c r="D98" t="s">
        <v>54</v>
      </c>
      <c r="E98" t="s">
        <v>83</v>
      </c>
      <c r="F98" s="5" t="s">
        <v>693</v>
      </c>
      <c r="G98" s="3">
        <v>5</v>
      </c>
      <c r="H98" t="s">
        <v>911</v>
      </c>
      <c r="I98" s="8">
        <v>45296</v>
      </c>
      <c r="J98" s="8">
        <v>45437</v>
      </c>
      <c r="K98" t="s">
        <v>39</v>
      </c>
      <c r="L98" t="s">
        <v>918</v>
      </c>
      <c r="M98">
        <f t="shared" si="3"/>
        <v>141</v>
      </c>
      <c r="N98" s="9">
        <f t="shared" si="4"/>
        <v>1</v>
      </c>
      <c r="O98" s="10" t="str">
        <f t="shared" si="5"/>
        <v>18-25</v>
      </c>
    </row>
    <row r="99" spans="1:15" x14ac:dyDescent="0.3">
      <c r="A99">
        <v>1312</v>
      </c>
      <c r="B99" t="s">
        <v>11</v>
      </c>
      <c r="C99" s="3">
        <v>25</v>
      </c>
      <c r="D99" t="s">
        <v>54</v>
      </c>
      <c r="E99" t="s">
        <v>166</v>
      </c>
      <c r="F99" s="5" t="s">
        <v>826</v>
      </c>
      <c r="G99" s="3" t="s">
        <v>65</v>
      </c>
      <c r="H99" t="s">
        <v>16</v>
      </c>
      <c r="I99" s="8">
        <v>45461</v>
      </c>
      <c r="J99" s="8">
        <v>45353</v>
      </c>
      <c r="K99" t="s">
        <v>39</v>
      </c>
      <c r="L99" t="s">
        <v>916</v>
      </c>
      <c r="M99">
        <f t="shared" si="3"/>
        <v>-108</v>
      </c>
      <c r="N99" s="9">
        <f t="shared" si="4"/>
        <v>1</v>
      </c>
      <c r="O99" s="10" t="str">
        <f t="shared" si="5"/>
        <v>18-25</v>
      </c>
    </row>
    <row r="100" spans="1:15" x14ac:dyDescent="0.3">
      <c r="A100">
        <v>1305</v>
      </c>
      <c r="B100" t="s">
        <v>659</v>
      </c>
      <c r="C100" s="3">
        <v>22</v>
      </c>
      <c r="D100" t="s">
        <v>23</v>
      </c>
      <c r="E100" t="s">
        <v>83</v>
      </c>
      <c r="F100" s="5" t="s">
        <v>876</v>
      </c>
      <c r="G100" s="3" t="s">
        <v>49</v>
      </c>
      <c r="H100" t="s">
        <v>911</v>
      </c>
      <c r="I100" s="8">
        <v>45433</v>
      </c>
      <c r="J100" s="8">
        <v>45471</v>
      </c>
      <c r="K100" t="s">
        <v>39</v>
      </c>
      <c r="L100" t="s">
        <v>915</v>
      </c>
      <c r="M100">
        <f t="shared" si="3"/>
        <v>38</v>
      </c>
      <c r="N100" s="9">
        <f t="shared" si="4"/>
        <v>1</v>
      </c>
      <c r="O100" s="10" t="str">
        <f t="shared" si="5"/>
        <v>18-25</v>
      </c>
    </row>
    <row r="101" spans="1:15" x14ac:dyDescent="0.3">
      <c r="A101">
        <v>1268</v>
      </c>
      <c r="B101" t="s">
        <v>135</v>
      </c>
      <c r="C101" s="3">
        <v>22</v>
      </c>
      <c r="D101" t="s">
        <v>54</v>
      </c>
      <c r="E101" t="s">
        <v>83</v>
      </c>
      <c r="F101" s="5" t="s">
        <v>827</v>
      </c>
      <c r="G101" s="3" t="s">
        <v>35</v>
      </c>
      <c r="H101" t="s">
        <v>911</v>
      </c>
      <c r="I101" s="8">
        <v>45405</v>
      </c>
      <c r="J101" s="8">
        <v>45309</v>
      </c>
      <c r="K101" t="s">
        <v>39</v>
      </c>
      <c r="L101" t="s">
        <v>915</v>
      </c>
      <c r="M101">
        <f t="shared" si="3"/>
        <v>-96</v>
      </c>
      <c r="N101" s="9">
        <f t="shared" si="4"/>
        <v>1</v>
      </c>
      <c r="O101" s="10" t="str">
        <f t="shared" si="5"/>
        <v>18-25</v>
      </c>
    </row>
    <row r="102" spans="1:15" x14ac:dyDescent="0.3">
      <c r="A102">
        <v>1018</v>
      </c>
      <c r="B102" t="s">
        <v>659</v>
      </c>
      <c r="C102" s="3">
        <v>22</v>
      </c>
      <c r="D102" t="s">
        <v>661</v>
      </c>
      <c r="E102" t="s">
        <v>24</v>
      </c>
      <c r="F102" s="5" t="s">
        <v>787</v>
      </c>
      <c r="G102" s="3" t="s">
        <v>65</v>
      </c>
      <c r="H102" t="s">
        <v>912</v>
      </c>
      <c r="I102" s="8">
        <v>45431</v>
      </c>
      <c r="J102" s="8">
        <v>45447</v>
      </c>
      <c r="K102" t="s">
        <v>39</v>
      </c>
      <c r="L102" t="s">
        <v>916</v>
      </c>
      <c r="M102">
        <f t="shared" si="3"/>
        <v>16</v>
      </c>
      <c r="N102" s="9">
        <f t="shared" si="4"/>
        <v>1</v>
      </c>
      <c r="O102" s="10" t="str">
        <f t="shared" si="5"/>
        <v>18-25</v>
      </c>
    </row>
    <row r="103" spans="1:15" x14ac:dyDescent="0.3">
      <c r="A103">
        <v>1465</v>
      </c>
      <c r="B103" t="s">
        <v>660</v>
      </c>
      <c r="C103" s="3">
        <v>22</v>
      </c>
      <c r="D103" t="s">
        <v>23</v>
      </c>
      <c r="E103" t="s">
        <v>24</v>
      </c>
      <c r="F103" s="5" t="s">
        <v>788</v>
      </c>
      <c r="G103" s="3" t="s">
        <v>35</v>
      </c>
      <c r="H103" t="s">
        <v>27</v>
      </c>
      <c r="I103" s="8">
        <v>45571</v>
      </c>
      <c r="J103" s="8">
        <v>45355</v>
      </c>
      <c r="K103" t="s">
        <v>39</v>
      </c>
      <c r="L103" t="s">
        <v>914</v>
      </c>
      <c r="M103">
        <f t="shared" si="3"/>
        <v>-216</v>
      </c>
      <c r="N103" s="9">
        <f t="shared" si="4"/>
        <v>1</v>
      </c>
      <c r="O103" s="10" t="str">
        <f t="shared" si="5"/>
        <v>18-25</v>
      </c>
    </row>
    <row r="104" spans="1:15" x14ac:dyDescent="0.3">
      <c r="A104">
        <v>1001</v>
      </c>
      <c r="B104" t="s">
        <v>116</v>
      </c>
      <c r="C104" s="3">
        <v>25</v>
      </c>
      <c r="D104" t="s">
        <v>661</v>
      </c>
      <c r="E104" t="s">
        <v>166</v>
      </c>
      <c r="F104" s="5" t="s">
        <v>789</v>
      </c>
      <c r="G104" s="3" t="s">
        <v>15</v>
      </c>
      <c r="H104" t="s">
        <v>912</v>
      </c>
      <c r="I104" s="8">
        <v>45354</v>
      </c>
      <c r="J104" s="8">
        <v>45397</v>
      </c>
      <c r="K104" t="s">
        <v>39</v>
      </c>
      <c r="L104" t="s">
        <v>920</v>
      </c>
      <c r="M104">
        <f t="shared" si="3"/>
        <v>43</v>
      </c>
      <c r="N104" s="9">
        <f t="shared" si="4"/>
        <v>1</v>
      </c>
      <c r="O104" s="10" t="str">
        <f t="shared" si="5"/>
        <v>18-25</v>
      </c>
    </row>
    <row r="105" spans="1:15" x14ac:dyDescent="0.3">
      <c r="A105">
        <v>1051</v>
      </c>
      <c r="B105" t="s">
        <v>660</v>
      </c>
      <c r="C105" s="3">
        <v>22</v>
      </c>
      <c r="D105" t="s">
        <v>23</v>
      </c>
      <c r="E105" t="s">
        <v>83</v>
      </c>
      <c r="F105" s="5" t="s">
        <v>790</v>
      </c>
      <c r="G105" s="3">
        <v>1</v>
      </c>
      <c r="H105" t="s">
        <v>16</v>
      </c>
      <c r="I105" s="8">
        <v>45350</v>
      </c>
      <c r="J105" s="8">
        <v>45353</v>
      </c>
      <c r="K105" t="s">
        <v>39</v>
      </c>
      <c r="L105" t="s">
        <v>919</v>
      </c>
      <c r="M105">
        <f t="shared" si="3"/>
        <v>3</v>
      </c>
      <c r="N105" s="9">
        <f t="shared" si="4"/>
        <v>1</v>
      </c>
      <c r="O105" s="10" t="str">
        <f t="shared" si="5"/>
        <v>18-25</v>
      </c>
    </row>
    <row r="106" spans="1:15" x14ac:dyDescent="0.3">
      <c r="A106">
        <v>1428</v>
      </c>
      <c r="B106" t="s">
        <v>657</v>
      </c>
      <c r="C106" s="3">
        <v>22</v>
      </c>
      <c r="D106" t="s">
        <v>23</v>
      </c>
      <c r="E106" t="s">
        <v>155</v>
      </c>
      <c r="F106" s="5" t="s">
        <v>877</v>
      </c>
      <c r="G106" s="3" t="s">
        <v>15</v>
      </c>
      <c r="H106" t="s">
        <v>27</v>
      </c>
      <c r="I106" s="8">
        <v>45354</v>
      </c>
      <c r="J106" s="8">
        <v>45456</v>
      </c>
      <c r="K106" t="s">
        <v>68</v>
      </c>
      <c r="L106" t="s">
        <v>915</v>
      </c>
      <c r="M106">
        <f t="shared" si="3"/>
        <v>102</v>
      </c>
      <c r="N106" s="9">
        <f t="shared" si="4"/>
        <v>0</v>
      </c>
      <c r="O106" s="10" t="str">
        <f t="shared" si="5"/>
        <v>18-25</v>
      </c>
    </row>
    <row r="107" spans="1:15" x14ac:dyDescent="0.3">
      <c r="A107">
        <v>1373</v>
      </c>
      <c r="B107" t="s">
        <v>11</v>
      </c>
      <c r="C107" s="3">
        <v>22</v>
      </c>
      <c r="D107" t="s">
        <v>23</v>
      </c>
      <c r="E107" t="s">
        <v>83</v>
      </c>
      <c r="F107" s="5" t="s">
        <v>828</v>
      </c>
      <c r="G107" s="3" t="s">
        <v>65</v>
      </c>
      <c r="H107" t="s">
        <v>911</v>
      </c>
      <c r="I107" s="8">
        <v>45428</v>
      </c>
      <c r="J107" s="8">
        <v>45343</v>
      </c>
      <c r="K107" t="s">
        <v>39</v>
      </c>
      <c r="L107" t="s">
        <v>918</v>
      </c>
      <c r="M107">
        <f t="shared" si="3"/>
        <v>-85</v>
      </c>
      <c r="N107" s="9">
        <f t="shared" si="4"/>
        <v>1</v>
      </c>
      <c r="O107" s="10" t="str">
        <f t="shared" si="5"/>
        <v>18-25</v>
      </c>
    </row>
    <row r="108" spans="1:15" x14ac:dyDescent="0.3">
      <c r="A108">
        <v>1233</v>
      </c>
      <c r="B108" t="s">
        <v>657</v>
      </c>
      <c r="C108" s="3">
        <v>22</v>
      </c>
      <c r="D108" t="s">
        <v>54</v>
      </c>
      <c r="E108" t="s">
        <v>166</v>
      </c>
      <c r="F108" s="5" t="s">
        <v>829</v>
      </c>
      <c r="G108" s="3">
        <v>5</v>
      </c>
      <c r="H108" t="s">
        <v>911</v>
      </c>
      <c r="I108" s="8">
        <v>45396</v>
      </c>
      <c r="J108" s="8">
        <v>45406</v>
      </c>
      <c r="K108" t="s">
        <v>68</v>
      </c>
      <c r="L108" t="s">
        <v>915</v>
      </c>
      <c r="M108">
        <f t="shared" si="3"/>
        <v>10</v>
      </c>
      <c r="N108" s="9">
        <f t="shared" si="4"/>
        <v>0</v>
      </c>
      <c r="O108" s="10" t="str">
        <f t="shared" si="5"/>
        <v>18-25</v>
      </c>
    </row>
    <row r="109" spans="1:15" x14ac:dyDescent="0.3">
      <c r="A109">
        <v>1304</v>
      </c>
      <c r="B109" t="s">
        <v>116</v>
      </c>
      <c r="C109" s="3">
        <v>22</v>
      </c>
      <c r="D109" t="s">
        <v>23</v>
      </c>
      <c r="E109" t="s">
        <v>155</v>
      </c>
      <c r="F109" s="5" t="s">
        <v>694</v>
      </c>
      <c r="G109" s="3">
        <v>4</v>
      </c>
      <c r="H109" t="s">
        <v>911</v>
      </c>
      <c r="I109" s="8">
        <v>45598</v>
      </c>
      <c r="J109" s="8">
        <v>45408</v>
      </c>
      <c r="K109" t="s">
        <v>39</v>
      </c>
      <c r="L109" t="s">
        <v>915</v>
      </c>
      <c r="M109">
        <f t="shared" si="3"/>
        <v>-190</v>
      </c>
      <c r="N109" s="9">
        <f t="shared" si="4"/>
        <v>1</v>
      </c>
      <c r="O109" s="10" t="str">
        <f t="shared" si="5"/>
        <v>18-25</v>
      </c>
    </row>
    <row r="110" spans="1:15" x14ac:dyDescent="0.3">
      <c r="A110">
        <v>1056</v>
      </c>
      <c r="B110" t="s">
        <v>11</v>
      </c>
      <c r="C110" s="3">
        <v>22</v>
      </c>
      <c r="D110" t="s">
        <v>23</v>
      </c>
      <c r="E110" t="s">
        <v>24</v>
      </c>
      <c r="F110" s="5" t="s">
        <v>878</v>
      </c>
      <c r="G110" s="3">
        <v>5</v>
      </c>
      <c r="H110" t="s">
        <v>911</v>
      </c>
      <c r="I110" s="8">
        <v>45453</v>
      </c>
      <c r="J110" s="8">
        <v>45333</v>
      </c>
      <c r="K110" t="s">
        <v>39</v>
      </c>
      <c r="L110" t="s">
        <v>918</v>
      </c>
      <c r="M110">
        <f t="shared" si="3"/>
        <v>-120</v>
      </c>
      <c r="N110" s="9">
        <f t="shared" si="4"/>
        <v>1</v>
      </c>
      <c r="O110" s="10" t="str">
        <f t="shared" si="5"/>
        <v>18-25</v>
      </c>
    </row>
    <row r="111" spans="1:15" x14ac:dyDescent="0.3">
      <c r="A111">
        <v>1475</v>
      </c>
      <c r="B111" t="s">
        <v>116</v>
      </c>
      <c r="C111" s="3">
        <v>22</v>
      </c>
      <c r="D111" t="s">
        <v>54</v>
      </c>
      <c r="E111" t="s">
        <v>83</v>
      </c>
      <c r="F111" s="5" t="s">
        <v>695</v>
      </c>
      <c r="G111" s="3">
        <v>1</v>
      </c>
      <c r="H111" t="s">
        <v>27</v>
      </c>
      <c r="I111" s="8">
        <v>45426</v>
      </c>
      <c r="J111" s="8">
        <v>45312</v>
      </c>
      <c r="K111" t="s">
        <v>19</v>
      </c>
      <c r="L111" t="s">
        <v>920</v>
      </c>
      <c r="M111">
        <f t="shared" si="3"/>
        <v>-114</v>
      </c>
      <c r="N111" s="9">
        <f t="shared" si="4"/>
        <v>0</v>
      </c>
      <c r="O111" s="10" t="str">
        <f t="shared" si="5"/>
        <v>18-25</v>
      </c>
    </row>
    <row r="112" spans="1:15" x14ac:dyDescent="0.3">
      <c r="A112">
        <v>1433</v>
      </c>
      <c r="B112" t="s">
        <v>657</v>
      </c>
      <c r="C112" s="3">
        <v>25</v>
      </c>
      <c r="D112" t="s">
        <v>23</v>
      </c>
      <c r="E112" t="s">
        <v>155</v>
      </c>
      <c r="F112" s="5" t="s">
        <v>791</v>
      </c>
      <c r="G112" s="3">
        <v>1</v>
      </c>
      <c r="H112" t="s">
        <v>912</v>
      </c>
      <c r="I112" s="8">
        <v>45434</v>
      </c>
      <c r="J112" s="8">
        <v>45395</v>
      </c>
      <c r="K112" t="s">
        <v>39</v>
      </c>
      <c r="L112" t="s">
        <v>914</v>
      </c>
      <c r="M112">
        <f t="shared" si="3"/>
        <v>-39</v>
      </c>
      <c r="N112" s="9">
        <f t="shared" si="4"/>
        <v>1</v>
      </c>
      <c r="O112" s="10" t="str">
        <f t="shared" si="5"/>
        <v>18-25</v>
      </c>
    </row>
    <row r="113" spans="1:15" x14ac:dyDescent="0.3">
      <c r="A113">
        <v>1342</v>
      </c>
      <c r="B113" t="s">
        <v>11</v>
      </c>
      <c r="C113" s="3">
        <v>25</v>
      </c>
      <c r="D113" t="s">
        <v>54</v>
      </c>
      <c r="E113" t="s">
        <v>83</v>
      </c>
      <c r="F113" s="5" t="s">
        <v>830</v>
      </c>
      <c r="G113" s="3" t="s">
        <v>65</v>
      </c>
      <c r="H113" t="s">
        <v>16</v>
      </c>
      <c r="I113" s="8">
        <v>45331</v>
      </c>
      <c r="J113" s="8">
        <v>45432</v>
      </c>
      <c r="K113" t="s">
        <v>19</v>
      </c>
      <c r="L113" t="s">
        <v>915</v>
      </c>
      <c r="M113">
        <f t="shared" si="3"/>
        <v>101</v>
      </c>
      <c r="N113" s="9">
        <f t="shared" si="4"/>
        <v>0</v>
      </c>
      <c r="O113" s="10" t="str">
        <f t="shared" si="5"/>
        <v>18-25</v>
      </c>
    </row>
    <row r="114" spans="1:15" x14ac:dyDescent="0.3">
      <c r="A114">
        <v>1003</v>
      </c>
      <c r="B114" t="s">
        <v>116</v>
      </c>
      <c r="C114" s="3">
        <v>22</v>
      </c>
      <c r="D114" t="s">
        <v>661</v>
      </c>
      <c r="E114" t="s">
        <v>24</v>
      </c>
      <c r="F114" s="5" t="s">
        <v>831</v>
      </c>
      <c r="G114" s="3">
        <v>5</v>
      </c>
      <c r="H114" t="s">
        <v>16</v>
      </c>
      <c r="I114" s="8">
        <v>45304</v>
      </c>
      <c r="J114" s="8">
        <v>45328</v>
      </c>
      <c r="K114" t="s">
        <v>19</v>
      </c>
      <c r="L114" t="s">
        <v>920</v>
      </c>
      <c r="M114">
        <f t="shared" si="3"/>
        <v>24</v>
      </c>
      <c r="N114" s="9">
        <f t="shared" si="4"/>
        <v>0</v>
      </c>
      <c r="O114" s="10" t="str">
        <f t="shared" si="5"/>
        <v>18-25</v>
      </c>
    </row>
    <row r="115" spans="1:15" x14ac:dyDescent="0.3">
      <c r="A115">
        <v>1067</v>
      </c>
      <c r="B115" t="s">
        <v>660</v>
      </c>
      <c r="C115" s="3">
        <v>22</v>
      </c>
      <c r="D115" t="s">
        <v>54</v>
      </c>
      <c r="E115" t="s">
        <v>83</v>
      </c>
      <c r="F115" s="5" t="s">
        <v>879</v>
      </c>
      <c r="G115" s="3">
        <v>5</v>
      </c>
      <c r="H115" t="s">
        <v>912</v>
      </c>
      <c r="I115" s="8">
        <v>45293</v>
      </c>
      <c r="J115" s="8">
        <v>45379</v>
      </c>
      <c r="K115" t="s">
        <v>19</v>
      </c>
      <c r="L115" t="s">
        <v>918</v>
      </c>
      <c r="M115">
        <f t="shared" si="3"/>
        <v>86</v>
      </c>
      <c r="N115" s="9">
        <f t="shared" si="4"/>
        <v>0</v>
      </c>
      <c r="O115" s="10" t="str">
        <f t="shared" si="5"/>
        <v>18-25</v>
      </c>
    </row>
    <row r="116" spans="1:15" x14ac:dyDescent="0.3">
      <c r="A116">
        <v>1139</v>
      </c>
      <c r="B116" t="s">
        <v>21</v>
      </c>
      <c r="C116" s="3">
        <v>22</v>
      </c>
      <c r="D116" t="s">
        <v>661</v>
      </c>
      <c r="E116" t="s">
        <v>83</v>
      </c>
      <c r="F116" s="5" t="s">
        <v>832</v>
      </c>
      <c r="G116" s="3" t="s">
        <v>15</v>
      </c>
      <c r="H116" t="s">
        <v>912</v>
      </c>
      <c r="I116" s="8">
        <v>45422</v>
      </c>
      <c r="J116" s="8">
        <v>45298</v>
      </c>
      <c r="K116" t="s">
        <v>39</v>
      </c>
      <c r="L116" t="s">
        <v>920</v>
      </c>
      <c r="M116">
        <f t="shared" si="3"/>
        <v>-124</v>
      </c>
      <c r="N116" s="9">
        <f t="shared" si="4"/>
        <v>1</v>
      </c>
      <c r="O116" s="10" t="str">
        <f t="shared" si="5"/>
        <v>18-25</v>
      </c>
    </row>
    <row r="117" spans="1:15" x14ac:dyDescent="0.3">
      <c r="A117">
        <v>1149</v>
      </c>
      <c r="B117" t="s">
        <v>135</v>
      </c>
      <c r="C117" s="3">
        <v>22</v>
      </c>
      <c r="D117" t="s">
        <v>54</v>
      </c>
      <c r="E117" t="s">
        <v>24</v>
      </c>
      <c r="F117" s="5" t="s">
        <v>880</v>
      </c>
      <c r="G117" s="3" t="s">
        <v>65</v>
      </c>
      <c r="H117" t="s">
        <v>16</v>
      </c>
      <c r="I117" s="8">
        <v>45386</v>
      </c>
      <c r="J117" s="8">
        <v>45337</v>
      </c>
      <c r="K117" t="s">
        <v>68</v>
      </c>
      <c r="L117" t="s">
        <v>917</v>
      </c>
      <c r="M117">
        <f t="shared" si="3"/>
        <v>-49</v>
      </c>
      <c r="N117" s="9">
        <f t="shared" si="4"/>
        <v>0</v>
      </c>
      <c r="O117" s="10" t="str">
        <f t="shared" si="5"/>
        <v>18-25</v>
      </c>
    </row>
    <row r="118" spans="1:15" x14ac:dyDescent="0.3">
      <c r="A118">
        <v>1473</v>
      </c>
      <c r="B118" t="s">
        <v>660</v>
      </c>
      <c r="C118" s="3">
        <v>19</v>
      </c>
      <c r="D118" t="s">
        <v>661</v>
      </c>
      <c r="E118" t="s">
        <v>83</v>
      </c>
      <c r="F118" s="5" t="s">
        <v>792</v>
      </c>
      <c r="G118" s="3">
        <v>1</v>
      </c>
      <c r="H118" t="s">
        <v>911</v>
      </c>
      <c r="I118" s="8">
        <v>45569</v>
      </c>
      <c r="J118" s="8">
        <v>45349</v>
      </c>
      <c r="K118" t="s">
        <v>913</v>
      </c>
      <c r="L118" t="s">
        <v>916</v>
      </c>
      <c r="M118">
        <f t="shared" si="3"/>
        <v>-220</v>
      </c>
      <c r="N118" s="9">
        <f t="shared" si="4"/>
        <v>0</v>
      </c>
      <c r="O118" s="10" t="str">
        <f t="shared" si="5"/>
        <v>18-25</v>
      </c>
    </row>
    <row r="119" spans="1:15" x14ac:dyDescent="0.3">
      <c r="A119">
        <v>1103</v>
      </c>
      <c r="B119" t="s">
        <v>116</v>
      </c>
      <c r="C119" s="3">
        <v>23</v>
      </c>
      <c r="D119" t="s">
        <v>23</v>
      </c>
      <c r="E119" t="s">
        <v>155</v>
      </c>
      <c r="F119" s="5" t="s">
        <v>696</v>
      </c>
      <c r="G119" s="3">
        <v>5</v>
      </c>
      <c r="H119" t="s">
        <v>912</v>
      </c>
      <c r="I119" s="8">
        <v>45413</v>
      </c>
      <c r="J119" s="8">
        <v>45375</v>
      </c>
      <c r="K119" t="s">
        <v>39</v>
      </c>
      <c r="L119" t="s">
        <v>918</v>
      </c>
      <c r="M119">
        <f t="shared" si="3"/>
        <v>-38</v>
      </c>
      <c r="N119" s="9">
        <f t="shared" si="4"/>
        <v>1</v>
      </c>
      <c r="O119" s="10" t="str">
        <f t="shared" si="5"/>
        <v>18-25</v>
      </c>
    </row>
    <row r="120" spans="1:15" x14ac:dyDescent="0.3">
      <c r="A120">
        <v>1489</v>
      </c>
      <c r="B120" t="s">
        <v>659</v>
      </c>
      <c r="C120" s="3">
        <v>23</v>
      </c>
      <c r="D120" t="s">
        <v>661</v>
      </c>
      <c r="E120" t="s">
        <v>83</v>
      </c>
      <c r="F120" s="5" t="s">
        <v>697</v>
      </c>
      <c r="G120" s="3" t="s">
        <v>65</v>
      </c>
      <c r="H120" t="s">
        <v>911</v>
      </c>
      <c r="I120" s="8">
        <v>45414</v>
      </c>
      <c r="J120" s="8">
        <v>45391</v>
      </c>
      <c r="K120" t="s">
        <v>913</v>
      </c>
      <c r="L120" t="s">
        <v>920</v>
      </c>
      <c r="M120">
        <f t="shared" si="3"/>
        <v>-23</v>
      </c>
      <c r="N120" s="9">
        <f t="shared" si="4"/>
        <v>0</v>
      </c>
      <c r="O120" s="10" t="str">
        <f t="shared" si="5"/>
        <v>18-25</v>
      </c>
    </row>
    <row r="121" spans="1:15" x14ac:dyDescent="0.3">
      <c r="A121">
        <v>1354</v>
      </c>
      <c r="B121" t="s">
        <v>21</v>
      </c>
      <c r="C121" s="3">
        <v>22</v>
      </c>
      <c r="D121" t="s">
        <v>23</v>
      </c>
      <c r="E121" t="s">
        <v>155</v>
      </c>
      <c r="F121" s="5" t="s">
        <v>881</v>
      </c>
      <c r="G121" s="3" t="s">
        <v>49</v>
      </c>
      <c r="H121" t="s">
        <v>912</v>
      </c>
      <c r="I121" s="8">
        <v>45316</v>
      </c>
      <c r="J121" s="8">
        <v>45386</v>
      </c>
      <c r="K121" t="s">
        <v>913</v>
      </c>
      <c r="L121" t="s">
        <v>916</v>
      </c>
      <c r="M121">
        <f t="shared" si="3"/>
        <v>70</v>
      </c>
      <c r="N121" s="9">
        <f t="shared" si="4"/>
        <v>0</v>
      </c>
      <c r="O121" s="10" t="str">
        <f t="shared" si="5"/>
        <v>18-25</v>
      </c>
    </row>
    <row r="122" spans="1:15" x14ac:dyDescent="0.3">
      <c r="A122">
        <v>1003</v>
      </c>
      <c r="B122" t="s">
        <v>11</v>
      </c>
      <c r="C122" s="3">
        <v>22</v>
      </c>
      <c r="D122" t="s">
        <v>23</v>
      </c>
      <c r="E122" t="s">
        <v>83</v>
      </c>
      <c r="F122" s="5" t="s">
        <v>698</v>
      </c>
      <c r="G122" s="3" t="s">
        <v>49</v>
      </c>
      <c r="H122" t="s">
        <v>911</v>
      </c>
      <c r="I122" s="8">
        <v>45457</v>
      </c>
      <c r="J122" s="8">
        <v>45454</v>
      </c>
      <c r="K122" t="s">
        <v>39</v>
      </c>
      <c r="L122" t="s">
        <v>919</v>
      </c>
      <c r="M122">
        <f t="shared" si="3"/>
        <v>-3</v>
      </c>
      <c r="N122" s="9">
        <f t="shared" si="4"/>
        <v>1</v>
      </c>
      <c r="O122" s="10" t="str">
        <f t="shared" si="5"/>
        <v>18-25</v>
      </c>
    </row>
    <row r="123" spans="1:15" x14ac:dyDescent="0.3">
      <c r="A123">
        <v>1395</v>
      </c>
      <c r="B123" t="s">
        <v>660</v>
      </c>
      <c r="C123" s="3">
        <v>22</v>
      </c>
      <c r="D123" t="s">
        <v>23</v>
      </c>
      <c r="E123" t="s">
        <v>24</v>
      </c>
      <c r="F123" s="5" t="s">
        <v>699</v>
      </c>
      <c r="G123" s="3">
        <v>4</v>
      </c>
      <c r="H123" t="s">
        <v>16</v>
      </c>
      <c r="I123" s="8">
        <v>45435</v>
      </c>
      <c r="J123" s="8">
        <v>45458</v>
      </c>
      <c r="K123" t="s">
        <v>68</v>
      </c>
      <c r="L123" t="s">
        <v>914</v>
      </c>
      <c r="M123">
        <f t="shared" si="3"/>
        <v>23</v>
      </c>
      <c r="N123" s="9">
        <f t="shared" si="4"/>
        <v>0</v>
      </c>
      <c r="O123" s="10" t="str">
        <f t="shared" si="5"/>
        <v>18-25</v>
      </c>
    </row>
    <row r="124" spans="1:15" x14ac:dyDescent="0.3">
      <c r="A124">
        <v>1259</v>
      </c>
      <c r="B124" t="s">
        <v>657</v>
      </c>
      <c r="C124" s="3">
        <v>23</v>
      </c>
      <c r="D124" t="s">
        <v>54</v>
      </c>
      <c r="E124" t="s">
        <v>24</v>
      </c>
      <c r="F124" s="5" t="s">
        <v>700</v>
      </c>
      <c r="G124" s="3" t="s">
        <v>49</v>
      </c>
      <c r="H124" t="s">
        <v>911</v>
      </c>
      <c r="I124" s="8">
        <v>45353</v>
      </c>
      <c r="J124" s="8">
        <v>45413</v>
      </c>
      <c r="K124" t="s">
        <v>19</v>
      </c>
      <c r="L124" t="s">
        <v>916</v>
      </c>
      <c r="M124">
        <f t="shared" si="3"/>
        <v>60</v>
      </c>
      <c r="N124" s="9">
        <f t="shared" si="4"/>
        <v>0</v>
      </c>
      <c r="O124" s="10" t="str">
        <f t="shared" si="5"/>
        <v>18-25</v>
      </c>
    </row>
    <row r="125" spans="1:15" x14ac:dyDescent="0.3">
      <c r="A125">
        <v>1243</v>
      </c>
      <c r="B125" t="s">
        <v>660</v>
      </c>
      <c r="C125" s="3">
        <v>19</v>
      </c>
      <c r="D125" t="s">
        <v>23</v>
      </c>
      <c r="E125" t="s">
        <v>166</v>
      </c>
      <c r="F125" s="5" t="s">
        <v>882</v>
      </c>
      <c r="G125" s="3" t="s">
        <v>49</v>
      </c>
      <c r="H125" t="s">
        <v>27</v>
      </c>
      <c r="I125" s="8">
        <v>45315</v>
      </c>
      <c r="J125" s="8">
        <v>45336</v>
      </c>
      <c r="K125" t="s">
        <v>68</v>
      </c>
      <c r="L125" t="s">
        <v>920</v>
      </c>
      <c r="M125">
        <f t="shared" si="3"/>
        <v>21</v>
      </c>
      <c r="N125" s="9">
        <f t="shared" si="4"/>
        <v>0</v>
      </c>
      <c r="O125" s="10" t="str">
        <f t="shared" si="5"/>
        <v>18-25</v>
      </c>
    </row>
    <row r="126" spans="1:15" x14ac:dyDescent="0.3">
      <c r="A126">
        <v>1222</v>
      </c>
      <c r="B126" t="s">
        <v>657</v>
      </c>
      <c r="C126" s="3">
        <v>18</v>
      </c>
      <c r="D126" t="s">
        <v>54</v>
      </c>
      <c r="E126" t="s">
        <v>166</v>
      </c>
      <c r="F126" s="5" t="s">
        <v>793</v>
      </c>
      <c r="G126" s="3" t="s">
        <v>35</v>
      </c>
      <c r="H126" t="s">
        <v>911</v>
      </c>
      <c r="I126" s="8">
        <v>45417</v>
      </c>
      <c r="J126" s="8">
        <v>45376</v>
      </c>
      <c r="K126" t="s">
        <v>19</v>
      </c>
      <c r="L126" t="s">
        <v>920</v>
      </c>
      <c r="M126">
        <f t="shared" si="3"/>
        <v>-41</v>
      </c>
      <c r="N126" s="9">
        <f t="shared" si="4"/>
        <v>0</v>
      </c>
      <c r="O126" s="10" t="str">
        <f t="shared" si="5"/>
        <v>18-25</v>
      </c>
    </row>
    <row r="127" spans="1:15" x14ac:dyDescent="0.3">
      <c r="A127">
        <v>1262</v>
      </c>
      <c r="B127" t="s">
        <v>116</v>
      </c>
      <c r="C127" s="3">
        <v>24</v>
      </c>
      <c r="D127" t="s">
        <v>661</v>
      </c>
      <c r="E127" t="s">
        <v>83</v>
      </c>
      <c r="F127" s="5" t="s">
        <v>833</v>
      </c>
      <c r="G127" s="3" t="s">
        <v>65</v>
      </c>
      <c r="H127" t="s">
        <v>911</v>
      </c>
      <c r="I127" s="8">
        <v>45462</v>
      </c>
      <c r="J127" s="8">
        <v>45347</v>
      </c>
      <c r="K127" t="s">
        <v>68</v>
      </c>
      <c r="L127" t="s">
        <v>916</v>
      </c>
      <c r="M127">
        <f t="shared" si="3"/>
        <v>-115</v>
      </c>
      <c r="N127" s="9">
        <f t="shared" si="4"/>
        <v>0</v>
      </c>
      <c r="O127" s="10" t="str">
        <f t="shared" si="5"/>
        <v>18-25</v>
      </c>
    </row>
    <row r="128" spans="1:15" x14ac:dyDescent="0.3">
      <c r="A128">
        <v>1265</v>
      </c>
      <c r="B128" t="s">
        <v>116</v>
      </c>
      <c r="C128" s="3">
        <v>18</v>
      </c>
      <c r="D128" t="s">
        <v>54</v>
      </c>
      <c r="E128" t="s">
        <v>83</v>
      </c>
      <c r="F128" s="5" t="s">
        <v>834</v>
      </c>
      <c r="G128" s="3">
        <v>1</v>
      </c>
      <c r="H128" t="s">
        <v>911</v>
      </c>
      <c r="I128" s="8">
        <v>45538</v>
      </c>
      <c r="J128" s="8">
        <v>45388</v>
      </c>
      <c r="K128" t="s">
        <v>68</v>
      </c>
      <c r="L128" t="s">
        <v>918</v>
      </c>
      <c r="M128">
        <f t="shared" si="3"/>
        <v>-150</v>
      </c>
      <c r="N128" s="9">
        <f t="shared" si="4"/>
        <v>0</v>
      </c>
      <c r="O128" s="10" t="str">
        <f t="shared" si="5"/>
        <v>18-25</v>
      </c>
    </row>
    <row r="129" spans="1:15" x14ac:dyDescent="0.3">
      <c r="A129">
        <v>1087</v>
      </c>
      <c r="B129" t="s">
        <v>116</v>
      </c>
      <c r="C129" s="3">
        <v>22</v>
      </c>
      <c r="D129" t="s">
        <v>54</v>
      </c>
      <c r="E129" t="s">
        <v>83</v>
      </c>
      <c r="F129" s="5" t="s">
        <v>835</v>
      </c>
      <c r="G129" s="3" t="s">
        <v>49</v>
      </c>
      <c r="H129" t="s">
        <v>27</v>
      </c>
      <c r="I129" s="8">
        <v>45456</v>
      </c>
      <c r="J129" s="8">
        <v>45332</v>
      </c>
      <c r="K129" t="s">
        <v>39</v>
      </c>
      <c r="L129" t="s">
        <v>914</v>
      </c>
      <c r="M129">
        <f t="shared" si="3"/>
        <v>-124</v>
      </c>
      <c r="N129" s="9">
        <f t="shared" si="4"/>
        <v>1</v>
      </c>
      <c r="O129" s="10" t="str">
        <f t="shared" si="5"/>
        <v>18-25</v>
      </c>
    </row>
    <row r="130" spans="1:15" x14ac:dyDescent="0.3">
      <c r="A130">
        <v>1014</v>
      </c>
      <c r="B130" t="s">
        <v>659</v>
      </c>
      <c r="C130" s="3">
        <v>22</v>
      </c>
      <c r="D130" t="s">
        <v>661</v>
      </c>
      <c r="E130" t="s">
        <v>24</v>
      </c>
      <c r="F130" s="5" t="s">
        <v>836</v>
      </c>
      <c r="G130" s="3" t="s">
        <v>35</v>
      </c>
      <c r="H130" t="s">
        <v>16</v>
      </c>
      <c r="I130" s="8">
        <v>45430</v>
      </c>
      <c r="J130" s="8">
        <v>45315</v>
      </c>
      <c r="K130" t="s">
        <v>39</v>
      </c>
      <c r="L130" t="s">
        <v>918</v>
      </c>
      <c r="M130">
        <f t="shared" ref="M130:M193" si="6">J130-I130</f>
        <v>-115</v>
      </c>
      <c r="N130" s="9">
        <f t="shared" ref="N130:N193" si="7">IF(K130="Active", 1, 0)</f>
        <v>1</v>
      </c>
      <c r="O130" s="10" t="str">
        <f t="shared" ref="O130:O193" si="8">IF(C130&lt;=25, "18-25", IF(C130&lt;=35, "26-35", IF(C130&lt;=50, "36-50", "51+")))</f>
        <v>18-25</v>
      </c>
    </row>
    <row r="131" spans="1:15" x14ac:dyDescent="0.3">
      <c r="A131">
        <v>1486</v>
      </c>
      <c r="B131" t="s">
        <v>657</v>
      </c>
      <c r="C131" s="3">
        <v>24</v>
      </c>
      <c r="D131" t="s">
        <v>54</v>
      </c>
      <c r="E131" t="s">
        <v>83</v>
      </c>
      <c r="F131" s="5" t="s">
        <v>837</v>
      </c>
      <c r="G131" s="3" t="s">
        <v>70</v>
      </c>
      <c r="H131" t="s">
        <v>16</v>
      </c>
      <c r="I131" s="8">
        <v>45294</v>
      </c>
      <c r="J131" s="8">
        <v>45383</v>
      </c>
      <c r="K131" t="s">
        <v>913</v>
      </c>
      <c r="L131" t="s">
        <v>917</v>
      </c>
      <c r="M131">
        <f t="shared" si="6"/>
        <v>89</v>
      </c>
      <c r="N131" s="9">
        <f t="shared" si="7"/>
        <v>0</v>
      </c>
      <c r="O131" s="10" t="str">
        <f t="shared" si="8"/>
        <v>18-25</v>
      </c>
    </row>
    <row r="132" spans="1:15" x14ac:dyDescent="0.3">
      <c r="A132">
        <v>1467</v>
      </c>
      <c r="B132" t="s">
        <v>116</v>
      </c>
      <c r="C132" s="3">
        <v>22</v>
      </c>
      <c r="D132" t="s">
        <v>661</v>
      </c>
      <c r="E132" t="s">
        <v>83</v>
      </c>
      <c r="F132" s="5" t="s">
        <v>883</v>
      </c>
      <c r="G132" s="3">
        <v>4</v>
      </c>
      <c r="H132" t="s">
        <v>912</v>
      </c>
      <c r="I132" s="8">
        <v>45297</v>
      </c>
      <c r="J132" s="8">
        <v>45456</v>
      </c>
      <c r="K132" t="s">
        <v>913</v>
      </c>
      <c r="L132" t="s">
        <v>920</v>
      </c>
      <c r="M132">
        <f t="shared" si="6"/>
        <v>159</v>
      </c>
      <c r="N132" s="9">
        <f t="shared" si="7"/>
        <v>0</v>
      </c>
      <c r="O132" s="10" t="str">
        <f t="shared" si="8"/>
        <v>18-25</v>
      </c>
    </row>
    <row r="133" spans="1:15" x14ac:dyDescent="0.3">
      <c r="A133">
        <v>1377</v>
      </c>
      <c r="B133" t="s">
        <v>657</v>
      </c>
      <c r="C133" s="3">
        <v>22</v>
      </c>
      <c r="D133" t="s">
        <v>54</v>
      </c>
      <c r="E133" t="s">
        <v>166</v>
      </c>
      <c r="F133" s="5" t="s">
        <v>701</v>
      </c>
      <c r="G133" s="3">
        <v>4</v>
      </c>
      <c r="H133" t="s">
        <v>911</v>
      </c>
      <c r="I133" s="8">
        <v>45325</v>
      </c>
      <c r="J133" s="8">
        <v>45335</v>
      </c>
      <c r="K133" t="s">
        <v>19</v>
      </c>
      <c r="L133" t="s">
        <v>915</v>
      </c>
      <c r="M133">
        <f t="shared" si="6"/>
        <v>10</v>
      </c>
      <c r="N133" s="9">
        <f t="shared" si="7"/>
        <v>0</v>
      </c>
      <c r="O133" s="10" t="str">
        <f t="shared" si="8"/>
        <v>18-25</v>
      </c>
    </row>
    <row r="134" spans="1:15" x14ac:dyDescent="0.3">
      <c r="A134">
        <v>1198</v>
      </c>
      <c r="B134" t="s">
        <v>659</v>
      </c>
      <c r="C134" s="3">
        <v>22</v>
      </c>
      <c r="D134" t="s">
        <v>23</v>
      </c>
      <c r="E134" t="s">
        <v>24</v>
      </c>
      <c r="F134" s="5" t="s">
        <v>884</v>
      </c>
      <c r="G134" s="3">
        <v>1</v>
      </c>
      <c r="H134" t="s">
        <v>27</v>
      </c>
      <c r="I134" s="8">
        <v>45293</v>
      </c>
      <c r="J134" s="8">
        <v>45407</v>
      </c>
      <c r="K134" t="s">
        <v>39</v>
      </c>
      <c r="L134" t="s">
        <v>915</v>
      </c>
      <c r="M134">
        <f t="shared" si="6"/>
        <v>114</v>
      </c>
      <c r="N134" s="9">
        <f t="shared" si="7"/>
        <v>1</v>
      </c>
      <c r="O134" s="10" t="str">
        <f t="shared" si="8"/>
        <v>18-25</v>
      </c>
    </row>
    <row r="135" spans="1:15" x14ac:dyDescent="0.3">
      <c r="A135">
        <v>1140</v>
      </c>
      <c r="B135" t="s">
        <v>660</v>
      </c>
      <c r="C135" s="3">
        <v>23</v>
      </c>
      <c r="D135" t="s">
        <v>54</v>
      </c>
      <c r="E135" t="s">
        <v>166</v>
      </c>
      <c r="F135" s="5" t="s">
        <v>885</v>
      </c>
      <c r="G135" s="3" t="s">
        <v>70</v>
      </c>
      <c r="H135" t="s">
        <v>16</v>
      </c>
      <c r="I135" s="8">
        <v>45331</v>
      </c>
      <c r="J135" s="8">
        <v>45311</v>
      </c>
      <c r="K135" t="s">
        <v>68</v>
      </c>
      <c r="L135" t="s">
        <v>914</v>
      </c>
      <c r="M135">
        <f t="shared" si="6"/>
        <v>-20</v>
      </c>
      <c r="N135" s="9">
        <f t="shared" si="7"/>
        <v>0</v>
      </c>
      <c r="O135" s="10" t="str">
        <f t="shared" si="8"/>
        <v>18-25</v>
      </c>
    </row>
    <row r="136" spans="1:15" x14ac:dyDescent="0.3">
      <c r="A136">
        <v>1438</v>
      </c>
      <c r="B136" t="s">
        <v>659</v>
      </c>
      <c r="C136" s="3">
        <v>21</v>
      </c>
      <c r="D136" t="s">
        <v>23</v>
      </c>
      <c r="E136" t="s">
        <v>83</v>
      </c>
      <c r="F136" s="5" t="s">
        <v>794</v>
      </c>
      <c r="G136" s="3">
        <v>5</v>
      </c>
      <c r="H136" t="s">
        <v>911</v>
      </c>
      <c r="I136" s="8">
        <v>45386</v>
      </c>
      <c r="J136" s="8">
        <v>45395</v>
      </c>
      <c r="K136" t="s">
        <v>19</v>
      </c>
      <c r="L136" t="s">
        <v>920</v>
      </c>
      <c r="M136">
        <f t="shared" si="6"/>
        <v>9</v>
      </c>
      <c r="N136" s="9">
        <f t="shared" si="7"/>
        <v>0</v>
      </c>
      <c r="O136" s="10" t="str">
        <f t="shared" si="8"/>
        <v>18-25</v>
      </c>
    </row>
    <row r="137" spans="1:15" x14ac:dyDescent="0.3">
      <c r="A137">
        <v>1027</v>
      </c>
      <c r="B137" t="s">
        <v>21</v>
      </c>
      <c r="C137" s="3">
        <v>22</v>
      </c>
      <c r="D137" t="s">
        <v>661</v>
      </c>
      <c r="E137" t="s">
        <v>24</v>
      </c>
      <c r="F137" s="5" t="s">
        <v>838</v>
      </c>
      <c r="G137" s="3" t="s">
        <v>15</v>
      </c>
      <c r="H137" t="s">
        <v>911</v>
      </c>
      <c r="I137" s="8">
        <v>45348</v>
      </c>
      <c r="J137" s="8">
        <v>45339</v>
      </c>
      <c r="K137" t="s">
        <v>913</v>
      </c>
      <c r="L137" t="s">
        <v>916</v>
      </c>
      <c r="M137">
        <f t="shared" si="6"/>
        <v>-9</v>
      </c>
      <c r="N137" s="9">
        <f t="shared" si="7"/>
        <v>0</v>
      </c>
      <c r="O137" s="10" t="str">
        <f t="shared" si="8"/>
        <v>18-25</v>
      </c>
    </row>
    <row r="138" spans="1:15" x14ac:dyDescent="0.3">
      <c r="A138">
        <v>1294</v>
      </c>
      <c r="B138" t="s">
        <v>660</v>
      </c>
      <c r="C138" s="3">
        <v>24</v>
      </c>
      <c r="D138" t="s">
        <v>23</v>
      </c>
      <c r="E138" t="s">
        <v>83</v>
      </c>
      <c r="F138" s="5" t="s">
        <v>886</v>
      </c>
      <c r="G138" s="3" t="s">
        <v>65</v>
      </c>
      <c r="H138" t="s">
        <v>911</v>
      </c>
      <c r="I138" s="8">
        <v>45324</v>
      </c>
      <c r="J138" s="8">
        <v>45371</v>
      </c>
      <c r="K138" t="s">
        <v>68</v>
      </c>
      <c r="L138" t="s">
        <v>915</v>
      </c>
      <c r="M138">
        <f t="shared" si="6"/>
        <v>47</v>
      </c>
      <c r="N138" s="9">
        <f t="shared" si="7"/>
        <v>0</v>
      </c>
      <c r="O138" s="10" t="str">
        <f t="shared" si="8"/>
        <v>18-25</v>
      </c>
    </row>
    <row r="139" spans="1:15" x14ac:dyDescent="0.3">
      <c r="A139">
        <v>1401</v>
      </c>
      <c r="B139" t="s">
        <v>657</v>
      </c>
      <c r="C139" s="3">
        <v>22</v>
      </c>
      <c r="D139" t="s">
        <v>54</v>
      </c>
      <c r="E139" t="s">
        <v>155</v>
      </c>
      <c r="F139" s="5" t="s">
        <v>839</v>
      </c>
      <c r="G139" s="3" t="s">
        <v>65</v>
      </c>
      <c r="H139" t="s">
        <v>911</v>
      </c>
      <c r="I139" s="8">
        <v>45453</v>
      </c>
      <c r="J139" s="8">
        <v>45396</v>
      </c>
      <c r="K139" t="s">
        <v>19</v>
      </c>
      <c r="L139" t="s">
        <v>914</v>
      </c>
      <c r="M139">
        <f t="shared" si="6"/>
        <v>-57</v>
      </c>
      <c r="N139" s="9">
        <f t="shared" si="7"/>
        <v>0</v>
      </c>
      <c r="O139" s="10" t="str">
        <f t="shared" si="8"/>
        <v>18-25</v>
      </c>
    </row>
    <row r="140" spans="1:15" x14ac:dyDescent="0.3">
      <c r="A140">
        <v>1445</v>
      </c>
      <c r="B140" t="s">
        <v>21</v>
      </c>
      <c r="C140" s="3">
        <v>22</v>
      </c>
      <c r="D140" t="s">
        <v>23</v>
      </c>
      <c r="E140" t="s">
        <v>83</v>
      </c>
      <c r="F140" s="5" t="s">
        <v>702</v>
      </c>
      <c r="G140" s="3" t="s">
        <v>65</v>
      </c>
      <c r="H140" t="s">
        <v>16</v>
      </c>
      <c r="I140" s="8">
        <v>45430</v>
      </c>
      <c r="J140" s="8">
        <v>45388</v>
      </c>
      <c r="K140" t="s">
        <v>39</v>
      </c>
      <c r="L140" t="s">
        <v>915</v>
      </c>
      <c r="M140">
        <f t="shared" si="6"/>
        <v>-42</v>
      </c>
      <c r="N140" s="9">
        <f t="shared" si="7"/>
        <v>1</v>
      </c>
      <c r="O140" s="10" t="str">
        <f t="shared" si="8"/>
        <v>18-25</v>
      </c>
    </row>
    <row r="141" spans="1:15" x14ac:dyDescent="0.3">
      <c r="A141">
        <v>1366</v>
      </c>
      <c r="B141" t="s">
        <v>660</v>
      </c>
      <c r="C141" s="3">
        <v>22</v>
      </c>
      <c r="D141" t="s">
        <v>661</v>
      </c>
      <c r="E141" t="s">
        <v>83</v>
      </c>
      <c r="F141" s="5" t="s">
        <v>840</v>
      </c>
      <c r="G141" s="3">
        <v>1</v>
      </c>
      <c r="H141" t="s">
        <v>16</v>
      </c>
      <c r="I141" s="8">
        <v>45327</v>
      </c>
      <c r="J141" s="8">
        <v>45418</v>
      </c>
      <c r="K141" t="s">
        <v>19</v>
      </c>
      <c r="L141" t="s">
        <v>917</v>
      </c>
      <c r="M141">
        <f t="shared" si="6"/>
        <v>91</v>
      </c>
      <c r="N141" s="9">
        <f t="shared" si="7"/>
        <v>0</v>
      </c>
      <c r="O141" s="10" t="str">
        <f t="shared" si="8"/>
        <v>18-25</v>
      </c>
    </row>
    <row r="142" spans="1:15" x14ac:dyDescent="0.3">
      <c r="A142">
        <v>1330</v>
      </c>
      <c r="B142" t="s">
        <v>659</v>
      </c>
      <c r="C142" s="3">
        <v>23</v>
      </c>
      <c r="D142" t="s">
        <v>54</v>
      </c>
      <c r="E142" t="s">
        <v>166</v>
      </c>
      <c r="F142" s="5" t="s">
        <v>887</v>
      </c>
      <c r="G142" s="3">
        <v>1</v>
      </c>
      <c r="H142" t="s">
        <v>911</v>
      </c>
      <c r="I142" s="8">
        <v>45432</v>
      </c>
      <c r="J142" s="8">
        <v>45324</v>
      </c>
      <c r="K142" t="s">
        <v>913</v>
      </c>
      <c r="L142" t="s">
        <v>919</v>
      </c>
      <c r="M142">
        <f t="shared" si="6"/>
        <v>-108</v>
      </c>
      <c r="N142" s="9">
        <f t="shared" si="7"/>
        <v>0</v>
      </c>
      <c r="O142" s="10" t="str">
        <f t="shared" si="8"/>
        <v>18-25</v>
      </c>
    </row>
    <row r="143" spans="1:15" x14ac:dyDescent="0.3">
      <c r="A143">
        <v>1355</v>
      </c>
      <c r="B143" t="s">
        <v>116</v>
      </c>
      <c r="C143" s="3">
        <v>22</v>
      </c>
      <c r="D143" t="s">
        <v>54</v>
      </c>
      <c r="E143" t="s">
        <v>83</v>
      </c>
      <c r="F143" s="5" t="s">
        <v>841</v>
      </c>
      <c r="G143" s="3" t="s">
        <v>70</v>
      </c>
      <c r="H143" t="s">
        <v>16</v>
      </c>
      <c r="I143" s="8">
        <v>45362</v>
      </c>
      <c r="J143" s="8">
        <v>45373</v>
      </c>
      <c r="K143" t="s">
        <v>39</v>
      </c>
      <c r="L143" t="s">
        <v>915</v>
      </c>
      <c r="M143">
        <f t="shared" si="6"/>
        <v>11</v>
      </c>
      <c r="N143" s="9">
        <f t="shared" si="7"/>
        <v>1</v>
      </c>
      <c r="O143" s="10" t="str">
        <f t="shared" si="8"/>
        <v>18-25</v>
      </c>
    </row>
    <row r="144" spans="1:15" x14ac:dyDescent="0.3">
      <c r="A144">
        <v>1116</v>
      </c>
      <c r="B144" t="s">
        <v>11</v>
      </c>
      <c r="C144" s="3">
        <v>22</v>
      </c>
      <c r="D144" t="s">
        <v>54</v>
      </c>
      <c r="E144" t="s">
        <v>24</v>
      </c>
      <c r="F144" s="5" t="s">
        <v>703</v>
      </c>
      <c r="G144" s="3" t="s">
        <v>65</v>
      </c>
      <c r="H144" t="s">
        <v>16</v>
      </c>
      <c r="I144" s="8">
        <v>45433</v>
      </c>
      <c r="J144" s="8">
        <v>45407</v>
      </c>
      <c r="K144" t="s">
        <v>913</v>
      </c>
      <c r="L144" t="s">
        <v>919</v>
      </c>
      <c r="M144">
        <f t="shared" si="6"/>
        <v>-26</v>
      </c>
      <c r="N144" s="9">
        <f t="shared" si="7"/>
        <v>0</v>
      </c>
      <c r="O144" s="10" t="str">
        <f t="shared" si="8"/>
        <v>18-25</v>
      </c>
    </row>
    <row r="145" spans="1:15" x14ac:dyDescent="0.3">
      <c r="A145">
        <v>1099</v>
      </c>
      <c r="B145" t="s">
        <v>660</v>
      </c>
      <c r="C145" s="3">
        <v>22</v>
      </c>
      <c r="D145" t="s">
        <v>23</v>
      </c>
      <c r="E145" t="s">
        <v>155</v>
      </c>
      <c r="F145" s="5" t="s">
        <v>704</v>
      </c>
      <c r="G145" s="3" t="s">
        <v>49</v>
      </c>
      <c r="H145" t="s">
        <v>912</v>
      </c>
      <c r="I145" s="8">
        <v>45378</v>
      </c>
      <c r="J145" s="8">
        <v>45353</v>
      </c>
      <c r="K145" t="s">
        <v>19</v>
      </c>
      <c r="L145" t="s">
        <v>915</v>
      </c>
      <c r="M145">
        <f t="shared" si="6"/>
        <v>-25</v>
      </c>
      <c r="N145" s="9">
        <f t="shared" si="7"/>
        <v>0</v>
      </c>
      <c r="O145" s="10" t="str">
        <f t="shared" si="8"/>
        <v>18-25</v>
      </c>
    </row>
    <row r="146" spans="1:15" x14ac:dyDescent="0.3">
      <c r="A146">
        <v>1193</v>
      </c>
      <c r="B146" t="s">
        <v>659</v>
      </c>
      <c r="C146" s="3">
        <v>21</v>
      </c>
      <c r="D146" t="s">
        <v>54</v>
      </c>
      <c r="E146" t="s">
        <v>83</v>
      </c>
      <c r="F146" s="5" t="s">
        <v>705</v>
      </c>
      <c r="G146" s="3">
        <v>4</v>
      </c>
      <c r="H146" t="s">
        <v>911</v>
      </c>
      <c r="I146" s="8">
        <v>45397</v>
      </c>
      <c r="J146" s="8">
        <v>45458</v>
      </c>
      <c r="K146" t="s">
        <v>39</v>
      </c>
      <c r="L146" t="s">
        <v>915</v>
      </c>
      <c r="M146">
        <f t="shared" si="6"/>
        <v>61</v>
      </c>
      <c r="N146" s="9">
        <f t="shared" si="7"/>
        <v>1</v>
      </c>
      <c r="O146" s="10" t="str">
        <f t="shared" si="8"/>
        <v>18-25</v>
      </c>
    </row>
    <row r="147" spans="1:15" x14ac:dyDescent="0.3">
      <c r="A147">
        <v>1303</v>
      </c>
      <c r="B147" t="s">
        <v>660</v>
      </c>
      <c r="C147" s="3">
        <v>22</v>
      </c>
      <c r="D147" t="s">
        <v>54</v>
      </c>
      <c r="E147" t="s">
        <v>166</v>
      </c>
      <c r="F147" s="5" t="s">
        <v>842</v>
      </c>
      <c r="G147" s="3" t="s">
        <v>49</v>
      </c>
      <c r="H147" t="s">
        <v>16</v>
      </c>
      <c r="I147" s="8">
        <v>45450</v>
      </c>
      <c r="J147" s="8">
        <v>45459</v>
      </c>
      <c r="K147" t="s">
        <v>913</v>
      </c>
      <c r="L147" t="s">
        <v>917</v>
      </c>
      <c r="M147">
        <f t="shared" si="6"/>
        <v>9</v>
      </c>
      <c r="N147" s="9">
        <f t="shared" si="7"/>
        <v>0</v>
      </c>
      <c r="O147" s="10" t="str">
        <f t="shared" si="8"/>
        <v>18-25</v>
      </c>
    </row>
    <row r="148" spans="1:15" x14ac:dyDescent="0.3">
      <c r="A148">
        <v>1493</v>
      </c>
      <c r="B148" t="s">
        <v>116</v>
      </c>
      <c r="C148" s="3">
        <v>22</v>
      </c>
      <c r="D148" t="s">
        <v>661</v>
      </c>
      <c r="E148" t="s">
        <v>24</v>
      </c>
      <c r="F148" s="5" t="s">
        <v>843</v>
      </c>
      <c r="G148" s="3" t="s">
        <v>15</v>
      </c>
      <c r="H148" t="s">
        <v>911</v>
      </c>
      <c r="I148" s="8">
        <v>45336</v>
      </c>
      <c r="J148" s="8">
        <v>45305</v>
      </c>
      <c r="K148" t="s">
        <v>39</v>
      </c>
      <c r="L148" t="s">
        <v>918</v>
      </c>
      <c r="M148">
        <f t="shared" si="6"/>
        <v>-31</v>
      </c>
      <c r="N148" s="9">
        <f t="shared" si="7"/>
        <v>1</v>
      </c>
      <c r="O148" s="10" t="str">
        <f t="shared" si="8"/>
        <v>18-25</v>
      </c>
    </row>
    <row r="149" spans="1:15" x14ac:dyDescent="0.3">
      <c r="A149">
        <v>1016</v>
      </c>
      <c r="B149" t="s">
        <v>660</v>
      </c>
      <c r="C149" s="3">
        <v>22</v>
      </c>
      <c r="D149" t="s">
        <v>23</v>
      </c>
      <c r="E149" t="s">
        <v>83</v>
      </c>
      <c r="F149" s="5" t="s">
        <v>888</v>
      </c>
      <c r="G149" s="3">
        <v>5</v>
      </c>
      <c r="H149" t="s">
        <v>912</v>
      </c>
      <c r="I149" s="8">
        <v>45334</v>
      </c>
      <c r="J149" s="8">
        <v>45315</v>
      </c>
      <c r="K149" t="s">
        <v>39</v>
      </c>
      <c r="L149" t="s">
        <v>917</v>
      </c>
      <c r="M149">
        <f t="shared" si="6"/>
        <v>-19</v>
      </c>
      <c r="N149" s="9">
        <f t="shared" si="7"/>
        <v>1</v>
      </c>
      <c r="O149" s="10" t="str">
        <f t="shared" si="8"/>
        <v>18-25</v>
      </c>
    </row>
    <row r="150" spans="1:15" x14ac:dyDescent="0.3">
      <c r="A150">
        <v>1133</v>
      </c>
      <c r="B150" t="s">
        <v>11</v>
      </c>
      <c r="C150" s="3">
        <v>22</v>
      </c>
      <c r="D150" t="s">
        <v>54</v>
      </c>
      <c r="E150" t="s">
        <v>155</v>
      </c>
      <c r="F150" s="5" t="s">
        <v>795</v>
      </c>
      <c r="G150" s="3">
        <v>1</v>
      </c>
      <c r="H150" t="s">
        <v>16</v>
      </c>
      <c r="I150" s="8">
        <v>45365</v>
      </c>
      <c r="J150" s="8">
        <v>45317</v>
      </c>
      <c r="K150" t="s">
        <v>913</v>
      </c>
      <c r="L150" t="s">
        <v>916</v>
      </c>
      <c r="M150">
        <f t="shared" si="6"/>
        <v>-48</v>
      </c>
      <c r="N150" s="9">
        <f t="shared" si="7"/>
        <v>0</v>
      </c>
      <c r="O150" s="10" t="str">
        <f t="shared" si="8"/>
        <v>18-25</v>
      </c>
    </row>
    <row r="151" spans="1:15" x14ac:dyDescent="0.3">
      <c r="A151">
        <v>1360</v>
      </c>
      <c r="B151" t="s">
        <v>657</v>
      </c>
      <c r="C151" s="3">
        <v>18</v>
      </c>
      <c r="D151" t="s">
        <v>54</v>
      </c>
      <c r="E151" t="s">
        <v>166</v>
      </c>
      <c r="F151" s="5" t="s">
        <v>889</v>
      </c>
      <c r="G151" s="3">
        <v>1</v>
      </c>
      <c r="H151" t="s">
        <v>911</v>
      </c>
      <c r="I151" s="8">
        <v>45311</v>
      </c>
      <c r="J151" s="8">
        <v>45374</v>
      </c>
      <c r="K151" t="s">
        <v>39</v>
      </c>
      <c r="L151" t="s">
        <v>920</v>
      </c>
      <c r="M151">
        <f t="shared" si="6"/>
        <v>63</v>
      </c>
      <c r="N151" s="9">
        <f t="shared" si="7"/>
        <v>1</v>
      </c>
      <c r="O151" s="10" t="str">
        <f t="shared" si="8"/>
        <v>18-25</v>
      </c>
    </row>
    <row r="152" spans="1:15" x14ac:dyDescent="0.3">
      <c r="A152">
        <v>1109</v>
      </c>
      <c r="B152" t="s">
        <v>660</v>
      </c>
      <c r="C152" s="3">
        <v>24</v>
      </c>
      <c r="D152" t="s">
        <v>23</v>
      </c>
      <c r="E152" t="s">
        <v>83</v>
      </c>
      <c r="F152" s="5" t="s">
        <v>844</v>
      </c>
      <c r="G152" s="3">
        <v>1</v>
      </c>
      <c r="H152" t="s">
        <v>16</v>
      </c>
      <c r="I152" s="8">
        <v>45364</v>
      </c>
      <c r="J152" s="8">
        <v>45408</v>
      </c>
      <c r="K152" t="s">
        <v>39</v>
      </c>
      <c r="L152" t="s">
        <v>915</v>
      </c>
      <c r="M152">
        <f t="shared" si="6"/>
        <v>44</v>
      </c>
      <c r="N152" s="9">
        <f t="shared" si="7"/>
        <v>1</v>
      </c>
      <c r="O152" s="10" t="str">
        <f t="shared" si="8"/>
        <v>18-25</v>
      </c>
    </row>
    <row r="153" spans="1:15" x14ac:dyDescent="0.3">
      <c r="A153">
        <v>1086</v>
      </c>
      <c r="B153" t="s">
        <v>116</v>
      </c>
      <c r="C153" s="3">
        <v>22</v>
      </c>
      <c r="D153" t="s">
        <v>23</v>
      </c>
      <c r="E153" t="s">
        <v>24</v>
      </c>
      <c r="F153" s="5" t="s">
        <v>706</v>
      </c>
      <c r="G153" s="3">
        <v>4</v>
      </c>
      <c r="H153" t="s">
        <v>16</v>
      </c>
      <c r="I153" s="8">
        <v>45370</v>
      </c>
      <c r="J153" s="8">
        <v>45379</v>
      </c>
      <c r="K153" t="s">
        <v>39</v>
      </c>
      <c r="L153" t="s">
        <v>915</v>
      </c>
      <c r="M153">
        <f t="shared" si="6"/>
        <v>9</v>
      </c>
      <c r="N153" s="9">
        <f t="shared" si="7"/>
        <v>1</v>
      </c>
      <c r="O153" s="10" t="str">
        <f t="shared" si="8"/>
        <v>18-25</v>
      </c>
    </row>
    <row r="154" spans="1:15" x14ac:dyDescent="0.3">
      <c r="A154">
        <v>1046</v>
      </c>
      <c r="B154" t="s">
        <v>657</v>
      </c>
      <c r="C154" s="3">
        <v>22</v>
      </c>
      <c r="D154" t="s">
        <v>23</v>
      </c>
      <c r="E154" t="s">
        <v>83</v>
      </c>
      <c r="F154" s="5" t="s">
        <v>845</v>
      </c>
      <c r="G154" s="3" t="s">
        <v>70</v>
      </c>
      <c r="H154" t="s">
        <v>16</v>
      </c>
      <c r="I154" s="8">
        <v>45601</v>
      </c>
      <c r="J154" s="8">
        <v>45340</v>
      </c>
      <c r="K154" t="s">
        <v>913</v>
      </c>
      <c r="L154" t="s">
        <v>915</v>
      </c>
      <c r="M154">
        <f t="shared" si="6"/>
        <v>-261</v>
      </c>
      <c r="N154" s="9">
        <f t="shared" si="7"/>
        <v>0</v>
      </c>
      <c r="O154" s="10" t="str">
        <f t="shared" si="8"/>
        <v>18-25</v>
      </c>
    </row>
    <row r="155" spans="1:15" x14ac:dyDescent="0.3">
      <c r="A155">
        <v>1271</v>
      </c>
      <c r="B155" t="s">
        <v>116</v>
      </c>
      <c r="C155" s="3">
        <v>22</v>
      </c>
      <c r="D155" t="s">
        <v>54</v>
      </c>
      <c r="E155" t="s">
        <v>83</v>
      </c>
      <c r="F155" s="5" t="s">
        <v>707</v>
      </c>
      <c r="G155" s="3" t="s">
        <v>35</v>
      </c>
      <c r="H155" t="s">
        <v>27</v>
      </c>
      <c r="I155" s="8">
        <v>45345</v>
      </c>
      <c r="J155" s="8">
        <v>45415</v>
      </c>
      <c r="K155" t="s">
        <v>19</v>
      </c>
      <c r="L155" t="s">
        <v>915</v>
      </c>
      <c r="M155">
        <f t="shared" si="6"/>
        <v>70</v>
      </c>
      <c r="N155" s="9">
        <f t="shared" si="7"/>
        <v>0</v>
      </c>
      <c r="O155" s="10" t="str">
        <f t="shared" si="8"/>
        <v>18-25</v>
      </c>
    </row>
    <row r="156" spans="1:15" x14ac:dyDescent="0.3">
      <c r="A156">
        <v>1315</v>
      </c>
      <c r="B156" t="s">
        <v>11</v>
      </c>
      <c r="C156" s="3">
        <v>23</v>
      </c>
      <c r="D156" t="s">
        <v>23</v>
      </c>
      <c r="E156" t="s">
        <v>83</v>
      </c>
      <c r="F156" s="5" t="s">
        <v>846</v>
      </c>
      <c r="G156" s="3">
        <v>1</v>
      </c>
      <c r="H156" t="s">
        <v>911</v>
      </c>
      <c r="I156" s="8">
        <v>45397</v>
      </c>
      <c r="J156" s="8">
        <v>45363</v>
      </c>
      <c r="K156" t="s">
        <v>68</v>
      </c>
      <c r="L156" t="s">
        <v>915</v>
      </c>
      <c r="M156">
        <f t="shared" si="6"/>
        <v>-34</v>
      </c>
      <c r="N156" s="9">
        <f t="shared" si="7"/>
        <v>0</v>
      </c>
      <c r="O156" s="10" t="str">
        <f t="shared" si="8"/>
        <v>18-25</v>
      </c>
    </row>
    <row r="157" spans="1:15" x14ac:dyDescent="0.3">
      <c r="A157">
        <v>1296</v>
      </c>
      <c r="B157" t="s">
        <v>659</v>
      </c>
      <c r="C157" s="3">
        <v>24</v>
      </c>
      <c r="D157" t="s">
        <v>54</v>
      </c>
      <c r="E157" t="s">
        <v>24</v>
      </c>
      <c r="F157" s="5" t="s">
        <v>708</v>
      </c>
      <c r="G157" s="3" t="s">
        <v>15</v>
      </c>
      <c r="H157" t="s">
        <v>27</v>
      </c>
      <c r="I157" s="8">
        <v>45476</v>
      </c>
      <c r="J157" s="8">
        <v>45323</v>
      </c>
      <c r="K157" t="s">
        <v>913</v>
      </c>
      <c r="L157" t="s">
        <v>914</v>
      </c>
      <c r="M157">
        <f t="shared" si="6"/>
        <v>-153</v>
      </c>
      <c r="N157" s="9">
        <f t="shared" si="7"/>
        <v>0</v>
      </c>
      <c r="O157" s="10" t="str">
        <f t="shared" si="8"/>
        <v>18-25</v>
      </c>
    </row>
    <row r="158" spans="1:15" x14ac:dyDescent="0.3">
      <c r="A158">
        <v>1409</v>
      </c>
      <c r="B158" t="s">
        <v>660</v>
      </c>
      <c r="C158" s="3">
        <v>23</v>
      </c>
      <c r="D158" t="s">
        <v>661</v>
      </c>
      <c r="E158" t="s">
        <v>83</v>
      </c>
      <c r="F158" s="5" t="s">
        <v>709</v>
      </c>
      <c r="G158" s="3" t="s">
        <v>49</v>
      </c>
      <c r="H158" t="s">
        <v>912</v>
      </c>
      <c r="I158" s="8">
        <v>45466</v>
      </c>
      <c r="J158" s="8">
        <v>45389</v>
      </c>
      <c r="K158" t="s">
        <v>68</v>
      </c>
      <c r="L158" t="s">
        <v>919</v>
      </c>
      <c r="M158">
        <f t="shared" si="6"/>
        <v>-77</v>
      </c>
      <c r="N158" s="9">
        <f t="shared" si="7"/>
        <v>0</v>
      </c>
      <c r="O158" s="10" t="str">
        <f t="shared" si="8"/>
        <v>18-25</v>
      </c>
    </row>
    <row r="159" spans="1:15" x14ac:dyDescent="0.3">
      <c r="A159">
        <v>1301</v>
      </c>
      <c r="B159" t="s">
        <v>660</v>
      </c>
      <c r="C159" s="3">
        <v>24</v>
      </c>
      <c r="D159" t="s">
        <v>54</v>
      </c>
      <c r="E159" t="s">
        <v>83</v>
      </c>
      <c r="F159" s="5" t="s">
        <v>796</v>
      </c>
      <c r="G159" s="3" t="s">
        <v>49</v>
      </c>
      <c r="H159" t="s">
        <v>912</v>
      </c>
      <c r="I159" s="8">
        <v>45375</v>
      </c>
      <c r="J159" s="8">
        <v>45296</v>
      </c>
      <c r="K159" t="s">
        <v>913</v>
      </c>
      <c r="L159" t="s">
        <v>915</v>
      </c>
      <c r="M159">
        <f t="shared" si="6"/>
        <v>-79</v>
      </c>
      <c r="N159" s="9">
        <f t="shared" si="7"/>
        <v>0</v>
      </c>
      <c r="O159" s="10" t="str">
        <f t="shared" si="8"/>
        <v>18-25</v>
      </c>
    </row>
    <row r="160" spans="1:15" x14ac:dyDescent="0.3">
      <c r="A160">
        <v>1433</v>
      </c>
      <c r="B160" t="s">
        <v>660</v>
      </c>
      <c r="C160" s="3">
        <v>18</v>
      </c>
      <c r="D160" t="s">
        <v>54</v>
      </c>
      <c r="E160" t="s">
        <v>155</v>
      </c>
      <c r="F160" s="5" t="s">
        <v>710</v>
      </c>
      <c r="G160" s="3" t="s">
        <v>49</v>
      </c>
      <c r="H160" t="s">
        <v>16</v>
      </c>
      <c r="I160" s="8">
        <v>45405</v>
      </c>
      <c r="J160" s="8">
        <v>45327</v>
      </c>
      <c r="K160" t="s">
        <v>39</v>
      </c>
      <c r="L160" t="s">
        <v>918</v>
      </c>
      <c r="M160">
        <f t="shared" si="6"/>
        <v>-78</v>
      </c>
      <c r="N160" s="9">
        <f t="shared" si="7"/>
        <v>1</v>
      </c>
      <c r="O160" s="10" t="str">
        <f t="shared" si="8"/>
        <v>18-25</v>
      </c>
    </row>
    <row r="161" spans="1:15" x14ac:dyDescent="0.3">
      <c r="A161">
        <v>1256</v>
      </c>
      <c r="B161" t="s">
        <v>657</v>
      </c>
      <c r="C161" s="3">
        <v>22</v>
      </c>
      <c r="D161" t="s">
        <v>661</v>
      </c>
      <c r="E161" t="s">
        <v>155</v>
      </c>
      <c r="F161" s="5" t="s">
        <v>711</v>
      </c>
      <c r="G161" s="3">
        <v>1</v>
      </c>
      <c r="H161" t="s">
        <v>16</v>
      </c>
      <c r="I161" s="8">
        <v>45477</v>
      </c>
      <c r="J161" s="8">
        <v>45300</v>
      </c>
      <c r="K161" t="s">
        <v>39</v>
      </c>
      <c r="L161" t="s">
        <v>917</v>
      </c>
      <c r="M161">
        <f t="shared" si="6"/>
        <v>-177</v>
      </c>
      <c r="N161" s="9">
        <f t="shared" si="7"/>
        <v>1</v>
      </c>
      <c r="O161" s="10" t="str">
        <f t="shared" si="8"/>
        <v>18-25</v>
      </c>
    </row>
    <row r="162" spans="1:15" x14ac:dyDescent="0.3">
      <c r="A162">
        <v>1419</v>
      </c>
      <c r="B162" t="s">
        <v>116</v>
      </c>
      <c r="C162" s="3">
        <v>22</v>
      </c>
      <c r="D162" t="s">
        <v>54</v>
      </c>
      <c r="E162" t="s">
        <v>83</v>
      </c>
      <c r="F162" s="5" t="s">
        <v>847</v>
      </c>
      <c r="G162" s="3" t="s">
        <v>35</v>
      </c>
      <c r="H162" t="s">
        <v>16</v>
      </c>
      <c r="I162" s="8">
        <v>45457</v>
      </c>
      <c r="J162" s="8">
        <v>45401</v>
      </c>
      <c r="K162" t="s">
        <v>19</v>
      </c>
      <c r="L162" t="s">
        <v>918</v>
      </c>
      <c r="M162">
        <f t="shared" si="6"/>
        <v>-56</v>
      </c>
      <c r="N162" s="9">
        <f t="shared" si="7"/>
        <v>0</v>
      </c>
      <c r="O162" s="10" t="str">
        <f t="shared" si="8"/>
        <v>18-25</v>
      </c>
    </row>
    <row r="163" spans="1:15" x14ac:dyDescent="0.3">
      <c r="A163">
        <v>1413</v>
      </c>
      <c r="B163" t="s">
        <v>659</v>
      </c>
      <c r="C163" s="3">
        <v>22</v>
      </c>
      <c r="D163" t="s">
        <v>54</v>
      </c>
      <c r="E163" t="s">
        <v>83</v>
      </c>
      <c r="F163" s="5" t="s">
        <v>848</v>
      </c>
      <c r="G163" s="3" t="s">
        <v>15</v>
      </c>
      <c r="H163" t="s">
        <v>16</v>
      </c>
      <c r="I163" s="8">
        <v>45385</v>
      </c>
      <c r="J163" s="8">
        <v>45368</v>
      </c>
      <c r="K163" t="s">
        <v>39</v>
      </c>
      <c r="L163" t="s">
        <v>917</v>
      </c>
      <c r="M163">
        <f t="shared" si="6"/>
        <v>-17</v>
      </c>
      <c r="N163" s="9">
        <f t="shared" si="7"/>
        <v>1</v>
      </c>
      <c r="O163" s="10" t="str">
        <f t="shared" si="8"/>
        <v>18-25</v>
      </c>
    </row>
    <row r="164" spans="1:15" x14ac:dyDescent="0.3">
      <c r="A164">
        <v>1385</v>
      </c>
      <c r="B164" t="s">
        <v>21</v>
      </c>
      <c r="C164" s="3">
        <v>18</v>
      </c>
      <c r="D164" t="s">
        <v>54</v>
      </c>
      <c r="E164" t="s">
        <v>83</v>
      </c>
      <c r="F164" s="5" t="s">
        <v>712</v>
      </c>
      <c r="G164" s="3" t="s">
        <v>15</v>
      </c>
      <c r="H164" t="s">
        <v>16</v>
      </c>
      <c r="I164" s="8">
        <v>45311</v>
      </c>
      <c r="J164" s="8">
        <v>45309</v>
      </c>
      <c r="K164" t="s">
        <v>39</v>
      </c>
      <c r="L164" t="s">
        <v>916</v>
      </c>
      <c r="M164">
        <f t="shared" si="6"/>
        <v>-2</v>
      </c>
      <c r="N164" s="9">
        <f t="shared" si="7"/>
        <v>1</v>
      </c>
      <c r="O164" s="10" t="str">
        <f t="shared" si="8"/>
        <v>18-25</v>
      </c>
    </row>
    <row r="165" spans="1:15" x14ac:dyDescent="0.3">
      <c r="A165">
        <v>1467</v>
      </c>
      <c r="B165" t="s">
        <v>660</v>
      </c>
      <c r="C165" s="3">
        <v>22</v>
      </c>
      <c r="D165" t="s">
        <v>54</v>
      </c>
      <c r="E165" t="s">
        <v>166</v>
      </c>
      <c r="F165" s="5" t="s">
        <v>890</v>
      </c>
      <c r="G165" s="3">
        <v>5</v>
      </c>
      <c r="H165" t="s">
        <v>16</v>
      </c>
      <c r="I165" s="8">
        <v>45338</v>
      </c>
      <c r="J165" s="8">
        <v>45301</v>
      </c>
      <c r="K165" t="s">
        <v>913</v>
      </c>
      <c r="L165" t="s">
        <v>916</v>
      </c>
      <c r="M165">
        <f t="shared" si="6"/>
        <v>-37</v>
      </c>
      <c r="N165" s="9">
        <f t="shared" si="7"/>
        <v>0</v>
      </c>
      <c r="O165" s="10" t="str">
        <f t="shared" si="8"/>
        <v>18-25</v>
      </c>
    </row>
    <row r="166" spans="1:15" x14ac:dyDescent="0.3">
      <c r="A166">
        <v>1324</v>
      </c>
      <c r="B166" t="s">
        <v>659</v>
      </c>
      <c r="C166" s="3">
        <v>22</v>
      </c>
      <c r="D166" t="s">
        <v>661</v>
      </c>
      <c r="E166" t="s">
        <v>24</v>
      </c>
      <c r="F166" s="5" t="s">
        <v>797</v>
      </c>
      <c r="G166" s="3" t="s">
        <v>49</v>
      </c>
      <c r="H166" t="s">
        <v>912</v>
      </c>
      <c r="I166" s="8">
        <v>45461</v>
      </c>
      <c r="J166" s="8">
        <v>45445</v>
      </c>
      <c r="K166" t="s">
        <v>39</v>
      </c>
      <c r="L166" t="s">
        <v>919</v>
      </c>
      <c r="M166">
        <f t="shared" si="6"/>
        <v>-16</v>
      </c>
      <c r="N166" s="9">
        <f t="shared" si="7"/>
        <v>1</v>
      </c>
      <c r="O166" s="10" t="str">
        <f t="shared" si="8"/>
        <v>18-25</v>
      </c>
    </row>
    <row r="167" spans="1:15" x14ac:dyDescent="0.3">
      <c r="A167">
        <v>1414</v>
      </c>
      <c r="B167" t="s">
        <v>657</v>
      </c>
      <c r="C167" s="3">
        <v>18</v>
      </c>
      <c r="D167" t="s">
        <v>54</v>
      </c>
      <c r="E167" t="s">
        <v>166</v>
      </c>
      <c r="F167" s="5" t="s">
        <v>713</v>
      </c>
      <c r="G167" s="3">
        <v>5</v>
      </c>
      <c r="H167" t="s">
        <v>912</v>
      </c>
      <c r="I167" s="8">
        <v>45601</v>
      </c>
      <c r="J167" s="8">
        <v>45410</v>
      </c>
      <c r="K167" t="s">
        <v>39</v>
      </c>
      <c r="L167" t="s">
        <v>914</v>
      </c>
      <c r="M167">
        <f t="shared" si="6"/>
        <v>-191</v>
      </c>
      <c r="N167" s="9">
        <f t="shared" si="7"/>
        <v>1</v>
      </c>
      <c r="O167" s="10" t="str">
        <f t="shared" si="8"/>
        <v>18-25</v>
      </c>
    </row>
    <row r="168" spans="1:15" x14ac:dyDescent="0.3">
      <c r="A168">
        <v>1391</v>
      </c>
      <c r="B168" t="s">
        <v>11</v>
      </c>
      <c r="C168" s="3">
        <v>23</v>
      </c>
      <c r="D168" t="s">
        <v>23</v>
      </c>
      <c r="E168" t="s">
        <v>24</v>
      </c>
      <c r="F168" s="5" t="s">
        <v>798</v>
      </c>
      <c r="G168" s="3" t="s">
        <v>49</v>
      </c>
      <c r="H168" t="s">
        <v>912</v>
      </c>
      <c r="I168" s="8">
        <v>45407</v>
      </c>
      <c r="J168" s="8">
        <v>45383</v>
      </c>
      <c r="K168" t="s">
        <v>39</v>
      </c>
      <c r="L168" t="s">
        <v>918</v>
      </c>
      <c r="M168">
        <f t="shared" si="6"/>
        <v>-24</v>
      </c>
      <c r="N168" s="9">
        <f t="shared" si="7"/>
        <v>1</v>
      </c>
      <c r="O168" s="10" t="str">
        <f t="shared" si="8"/>
        <v>18-25</v>
      </c>
    </row>
    <row r="169" spans="1:15" x14ac:dyDescent="0.3">
      <c r="A169">
        <v>1349</v>
      </c>
      <c r="B169" t="s">
        <v>116</v>
      </c>
      <c r="C169" s="3">
        <v>24</v>
      </c>
      <c r="D169" t="s">
        <v>661</v>
      </c>
      <c r="E169" t="s">
        <v>83</v>
      </c>
      <c r="F169" s="5" t="s">
        <v>714</v>
      </c>
      <c r="G169" s="3">
        <v>5</v>
      </c>
      <c r="H169" t="s">
        <v>16</v>
      </c>
      <c r="I169" s="8">
        <v>45541</v>
      </c>
      <c r="J169" s="8">
        <v>45373</v>
      </c>
      <c r="K169" t="s">
        <v>39</v>
      </c>
      <c r="L169" t="s">
        <v>915</v>
      </c>
      <c r="M169">
        <f t="shared" si="6"/>
        <v>-168</v>
      </c>
      <c r="N169" s="9">
        <f t="shared" si="7"/>
        <v>1</v>
      </c>
      <c r="O169" s="10" t="str">
        <f t="shared" si="8"/>
        <v>18-25</v>
      </c>
    </row>
    <row r="170" spans="1:15" x14ac:dyDescent="0.3">
      <c r="A170">
        <v>1486</v>
      </c>
      <c r="B170" t="s">
        <v>135</v>
      </c>
      <c r="C170" s="3">
        <v>24</v>
      </c>
      <c r="D170" t="s">
        <v>54</v>
      </c>
      <c r="E170" t="s">
        <v>83</v>
      </c>
      <c r="F170" s="5" t="s">
        <v>715</v>
      </c>
      <c r="G170" s="3">
        <v>4</v>
      </c>
      <c r="H170" t="s">
        <v>912</v>
      </c>
      <c r="I170" s="8">
        <v>45425</v>
      </c>
      <c r="J170" s="8">
        <v>45302</v>
      </c>
      <c r="K170" t="s">
        <v>39</v>
      </c>
      <c r="L170" t="s">
        <v>916</v>
      </c>
      <c r="M170">
        <f t="shared" si="6"/>
        <v>-123</v>
      </c>
      <c r="N170" s="9">
        <f t="shared" si="7"/>
        <v>1</v>
      </c>
      <c r="O170" s="10" t="str">
        <f t="shared" si="8"/>
        <v>18-25</v>
      </c>
    </row>
    <row r="171" spans="1:15" x14ac:dyDescent="0.3">
      <c r="A171">
        <v>1060</v>
      </c>
      <c r="B171" t="s">
        <v>11</v>
      </c>
      <c r="C171" s="3">
        <v>22</v>
      </c>
      <c r="D171" t="s">
        <v>23</v>
      </c>
      <c r="E171" t="s">
        <v>166</v>
      </c>
      <c r="F171" s="5" t="s">
        <v>891</v>
      </c>
      <c r="G171" s="3" t="s">
        <v>49</v>
      </c>
      <c r="H171" t="s">
        <v>911</v>
      </c>
      <c r="I171" s="8">
        <v>45307</v>
      </c>
      <c r="J171" s="8">
        <v>45367</v>
      </c>
      <c r="K171" t="s">
        <v>39</v>
      </c>
      <c r="L171" t="s">
        <v>917</v>
      </c>
      <c r="M171">
        <f t="shared" si="6"/>
        <v>60</v>
      </c>
      <c r="N171" s="9">
        <f t="shared" si="7"/>
        <v>1</v>
      </c>
      <c r="O171" s="10" t="str">
        <f t="shared" si="8"/>
        <v>18-25</v>
      </c>
    </row>
    <row r="172" spans="1:15" x14ac:dyDescent="0.3">
      <c r="A172">
        <v>1321</v>
      </c>
      <c r="B172" t="s">
        <v>116</v>
      </c>
      <c r="C172" s="3">
        <v>22</v>
      </c>
      <c r="D172" t="s">
        <v>23</v>
      </c>
      <c r="E172" t="s">
        <v>166</v>
      </c>
      <c r="F172" s="5" t="s">
        <v>849</v>
      </c>
      <c r="G172" s="3" t="s">
        <v>15</v>
      </c>
      <c r="H172" t="s">
        <v>16</v>
      </c>
      <c r="I172" s="8">
        <v>45339</v>
      </c>
      <c r="J172" s="8">
        <v>45327</v>
      </c>
      <c r="K172" t="s">
        <v>39</v>
      </c>
      <c r="L172" t="s">
        <v>916</v>
      </c>
      <c r="M172">
        <f t="shared" si="6"/>
        <v>-12</v>
      </c>
      <c r="N172" s="9">
        <f t="shared" si="7"/>
        <v>1</v>
      </c>
      <c r="O172" s="10" t="str">
        <f t="shared" si="8"/>
        <v>18-25</v>
      </c>
    </row>
    <row r="173" spans="1:15" x14ac:dyDescent="0.3">
      <c r="A173">
        <v>1372</v>
      </c>
      <c r="B173" t="s">
        <v>660</v>
      </c>
      <c r="C173" s="3">
        <v>22</v>
      </c>
      <c r="D173" t="s">
        <v>23</v>
      </c>
      <c r="E173" t="s">
        <v>83</v>
      </c>
      <c r="F173" s="5" t="s">
        <v>892</v>
      </c>
      <c r="G173" s="3">
        <v>1</v>
      </c>
      <c r="H173" t="s">
        <v>911</v>
      </c>
      <c r="I173" s="8">
        <v>45344</v>
      </c>
      <c r="J173" s="8">
        <v>45300</v>
      </c>
      <c r="K173" t="s">
        <v>39</v>
      </c>
      <c r="L173" t="s">
        <v>915</v>
      </c>
      <c r="M173">
        <f t="shared" si="6"/>
        <v>-44</v>
      </c>
      <c r="N173" s="9">
        <f t="shared" si="7"/>
        <v>1</v>
      </c>
      <c r="O173" s="10" t="str">
        <f t="shared" si="8"/>
        <v>18-25</v>
      </c>
    </row>
    <row r="174" spans="1:15" x14ac:dyDescent="0.3">
      <c r="A174">
        <v>1254</v>
      </c>
      <c r="B174" t="s">
        <v>116</v>
      </c>
      <c r="C174" s="3">
        <v>22</v>
      </c>
      <c r="D174" t="s">
        <v>54</v>
      </c>
      <c r="E174" t="s">
        <v>166</v>
      </c>
      <c r="F174" s="5" t="s">
        <v>716</v>
      </c>
      <c r="G174" s="3" t="s">
        <v>35</v>
      </c>
      <c r="H174" t="s">
        <v>912</v>
      </c>
      <c r="I174" s="8">
        <v>45345</v>
      </c>
      <c r="J174" s="8">
        <v>45350</v>
      </c>
      <c r="K174" t="s">
        <v>913</v>
      </c>
      <c r="L174" t="s">
        <v>916</v>
      </c>
      <c r="M174">
        <f t="shared" si="6"/>
        <v>5</v>
      </c>
      <c r="N174" s="9">
        <f t="shared" si="7"/>
        <v>0</v>
      </c>
      <c r="O174" s="10" t="str">
        <f t="shared" si="8"/>
        <v>18-25</v>
      </c>
    </row>
    <row r="175" spans="1:15" x14ac:dyDescent="0.3">
      <c r="A175">
        <v>1460</v>
      </c>
      <c r="B175" t="s">
        <v>660</v>
      </c>
      <c r="C175" s="3">
        <v>18</v>
      </c>
      <c r="D175" t="s">
        <v>23</v>
      </c>
      <c r="E175" t="s">
        <v>155</v>
      </c>
      <c r="F175" s="5" t="s">
        <v>799</v>
      </c>
      <c r="G175" s="3">
        <v>4</v>
      </c>
      <c r="H175" t="s">
        <v>16</v>
      </c>
      <c r="I175" s="8">
        <v>45474</v>
      </c>
      <c r="J175" s="8">
        <v>45397</v>
      </c>
      <c r="K175" t="s">
        <v>68</v>
      </c>
      <c r="L175" t="s">
        <v>920</v>
      </c>
      <c r="M175">
        <f t="shared" si="6"/>
        <v>-77</v>
      </c>
      <c r="N175" s="9">
        <f t="shared" si="7"/>
        <v>0</v>
      </c>
      <c r="O175" s="10" t="str">
        <f t="shared" si="8"/>
        <v>18-25</v>
      </c>
    </row>
    <row r="176" spans="1:15" x14ac:dyDescent="0.3">
      <c r="A176">
        <v>1323</v>
      </c>
      <c r="B176" t="s">
        <v>657</v>
      </c>
      <c r="C176" s="3">
        <v>19</v>
      </c>
      <c r="D176" t="s">
        <v>54</v>
      </c>
      <c r="E176" t="s">
        <v>155</v>
      </c>
      <c r="F176" s="5" t="s">
        <v>893</v>
      </c>
      <c r="G176" s="3">
        <v>1</v>
      </c>
      <c r="H176" t="s">
        <v>27</v>
      </c>
      <c r="I176" s="8">
        <v>45470</v>
      </c>
      <c r="J176" s="8">
        <v>45326</v>
      </c>
      <c r="K176" t="s">
        <v>39</v>
      </c>
      <c r="L176" t="s">
        <v>920</v>
      </c>
      <c r="M176">
        <f t="shared" si="6"/>
        <v>-144</v>
      </c>
      <c r="N176" s="9">
        <f t="shared" si="7"/>
        <v>1</v>
      </c>
      <c r="O176" s="10" t="str">
        <f t="shared" si="8"/>
        <v>18-25</v>
      </c>
    </row>
    <row r="177" spans="1:15" x14ac:dyDescent="0.3">
      <c r="A177">
        <v>1300</v>
      </c>
      <c r="B177" t="s">
        <v>660</v>
      </c>
      <c r="C177" s="3">
        <v>22</v>
      </c>
      <c r="D177" t="s">
        <v>661</v>
      </c>
      <c r="E177" t="s">
        <v>24</v>
      </c>
      <c r="F177" s="5" t="s">
        <v>717</v>
      </c>
      <c r="G177" s="3">
        <v>5</v>
      </c>
      <c r="H177" t="s">
        <v>16</v>
      </c>
      <c r="I177" s="8">
        <v>45538</v>
      </c>
      <c r="J177" s="8">
        <v>45602</v>
      </c>
      <c r="K177" t="s">
        <v>39</v>
      </c>
      <c r="L177" t="s">
        <v>918</v>
      </c>
      <c r="M177">
        <f t="shared" si="6"/>
        <v>64</v>
      </c>
      <c r="N177" s="9">
        <f t="shared" si="7"/>
        <v>1</v>
      </c>
      <c r="O177" s="10" t="str">
        <f t="shared" si="8"/>
        <v>18-25</v>
      </c>
    </row>
    <row r="178" spans="1:15" x14ac:dyDescent="0.3">
      <c r="A178">
        <v>1307</v>
      </c>
      <c r="B178" t="s">
        <v>657</v>
      </c>
      <c r="C178" s="3">
        <v>18</v>
      </c>
      <c r="D178" t="s">
        <v>23</v>
      </c>
      <c r="E178" t="s">
        <v>155</v>
      </c>
      <c r="F178" s="5" t="s">
        <v>718</v>
      </c>
      <c r="G178" s="3" t="s">
        <v>49</v>
      </c>
      <c r="H178" t="s">
        <v>16</v>
      </c>
      <c r="I178" s="8">
        <v>45403</v>
      </c>
      <c r="J178" s="8">
        <v>45295</v>
      </c>
      <c r="K178" t="s">
        <v>39</v>
      </c>
      <c r="L178" t="s">
        <v>920</v>
      </c>
      <c r="M178">
        <f t="shared" si="6"/>
        <v>-108</v>
      </c>
      <c r="N178" s="9">
        <f t="shared" si="7"/>
        <v>1</v>
      </c>
      <c r="O178" s="10" t="str">
        <f t="shared" si="8"/>
        <v>18-25</v>
      </c>
    </row>
    <row r="179" spans="1:15" x14ac:dyDescent="0.3">
      <c r="A179">
        <v>1135</v>
      </c>
      <c r="B179" t="s">
        <v>660</v>
      </c>
      <c r="C179" s="3">
        <v>25</v>
      </c>
      <c r="D179" t="s">
        <v>54</v>
      </c>
      <c r="E179" t="s">
        <v>83</v>
      </c>
      <c r="F179" s="5" t="s">
        <v>719</v>
      </c>
      <c r="G179" s="3" t="s">
        <v>15</v>
      </c>
      <c r="H179" t="s">
        <v>911</v>
      </c>
      <c r="I179" s="8">
        <v>45339</v>
      </c>
      <c r="J179" s="8">
        <v>45365</v>
      </c>
      <c r="K179" t="s">
        <v>913</v>
      </c>
      <c r="L179" t="s">
        <v>920</v>
      </c>
      <c r="M179">
        <f t="shared" si="6"/>
        <v>26</v>
      </c>
      <c r="N179" s="9">
        <f t="shared" si="7"/>
        <v>0</v>
      </c>
      <c r="O179" s="10" t="str">
        <f t="shared" si="8"/>
        <v>18-25</v>
      </c>
    </row>
    <row r="180" spans="1:15" x14ac:dyDescent="0.3">
      <c r="A180">
        <v>1486</v>
      </c>
      <c r="B180" t="s">
        <v>21</v>
      </c>
      <c r="C180" s="3">
        <v>22</v>
      </c>
      <c r="D180" t="s">
        <v>23</v>
      </c>
      <c r="E180" t="s">
        <v>83</v>
      </c>
      <c r="F180" s="5" t="s">
        <v>720</v>
      </c>
      <c r="G180" s="3">
        <v>5</v>
      </c>
      <c r="H180" t="s">
        <v>912</v>
      </c>
      <c r="I180" s="8">
        <v>45429</v>
      </c>
      <c r="J180" s="8">
        <v>45465</v>
      </c>
      <c r="K180" t="s">
        <v>68</v>
      </c>
      <c r="L180" t="s">
        <v>919</v>
      </c>
      <c r="M180">
        <f t="shared" si="6"/>
        <v>36</v>
      </c>
      <c r="N180" s="9">
        <f t="shared" si="7"/>
        <v>0</v>
      </c>
      <c r="O180" s="10" t="str">
        <f t="shared" si="8"/>
        <v>18-25</v>
      </c>
    </row>
    <row r="181" spans="1:15" x14ac:dyDescent="0.3">
      <c r="A181">
        <v>1088</v>
      </c>
      <c r="B181" t="s">
        <v>659</v>
      </c>
      <c r="C181" s="3">
        <v>23</v>
      </c>
      <c r="D181" t="s">
        <v>54</v>
      </c>
      <c r="E181" t="s">
        <v>166</v>
      </c>
      <c r="F181" s="5" t="s">
        <v>721</v>
      </c>
      <c r="G181" s="3">
        <v>4</v>
      </c>
      <c r="H181" t="s">
        <v>16</v>
      </c>
      <c r="I181" s="8">
        <v>45297</v>
      </c>
      <c r="J181" s="8">
        <v>45455</v>
      </c>
      <c r="K181" t="s">
        <v>913</v>
      </c>
      <c r="L181" t="s">
        <v>914</v>
      </c>
      <c r="M181">
        <f t="shared" si="6"/>
        <v>158</v>
      </c>
      <c r="N181" s="9">
        <f t="shared" si="7"/>
        <v>0</v>
      </c>
      <c r="O181" s="10" t="str">
        <f t="shared" si="8"/>
        <v>18-25</v>
      </c>
    </row>
    <row r="182" spans="1:15" x14ac:dyDescent="0.3">
      <c r="A182">
        <v>1454</v>
      </c>
      <c r="B182" t="s">
        <v>660</v>
      </c>
      <c r="C182" s="3">
        <v>22</v>
      </c>
      <c r="D182" t="s">
        <v>23</v>
      </c>
      <c r="E182" t="s">
        <v>24</v>
      </c>
      <c r="F182" s="5" t="s">
        <v>894</v>
      </c>
      <c r="G182" s="3">
        <v>4</v>
      </c>
      <c r="H182" t="s">
        <v>912</v>
      </c>
      <c r="I182" s="8">
        <v>45376</v>
      </c>
      <c r="J182" s="8">
        <v>45372</v>
      </c>
      <c r="K182" t="s">
        <v>19</v>
      </c>
      <c r="L182" t="s">
        <v>915</v>
      </c>
      <c r="M182">
        <f t="shared" si="6"/>
        <v>-4</v>
      </c>
      <c r="N182" s="9">
        <f t="shared" si="7"/>
        <v>0</v>
      </c>
      <c r="O182" s="10" t="str">
        <f t="shared" si="8"/>
        <v>18-25</v>
      </c>
    </row>
    <row r="183" spans="1:15" x14ac:dyDescent="0.3">
      <c r="A183">
        <v>1141</v>
      </c>
      <c r="B183" t="s">
        <v>135</v>
      </c>
      <c r="C183" s="3">
        <v>25</v>
      </c>
      <c r="D183" t="s">
        <v>54</v>
      </c>
      <c r="E183" t="s">
        <v>24</v>
      </c>
      <c r="F183" s="5" t="s">
        <v>722</v>
      </c>
      <c r="G183" s="3" t="s">
        <v>49</v>
      </c>
      <c r="H183" t="s">
        <v>912</v>
      </c>
      <c r="I183" s="8">
        <v>45311</v>
      </c>
      <c r="J183" s="8">
        <v>45376</v>
      </c>
      <c r="K183" t="s">
        <v>19</v>
      </c>
      <c r="L183" t="s">
        <v>916</v>
      </c>
      <c r="M183">
        <f t="shared" si="6"/>
        <v>65</v>
      </c>
      <c r="N183" s="9">
        <f t="shared" si="7"/>
        <v>0</v>
      </c>
      <c r="O183" s="10" t="str">
        <f t="shared" si="8"/>
        <v>18-25</v>
      </c>
    </row>
    <row r="184" spans="1:15" x14ac:dyDescent="0.3">
      <c r="A184">
        <v>1412</v>
      </c>
      <c r="B184" t="s">
        <v>657</v>
      </c>
      <c r="C184" s="3">
        <v>22</v>
      </c>
      <c r="D184" t="s">
        <v>54</v>
      </c>
      <c r="E184" t="s">
        <v>83</v>
      </c>
      <c r="F184" s="5" t="s">
        <v>850</v>
      </c>
      <c r="G184" s="3">
        <v>1</v>
      </c>
      <c r="H184" t="s">
        <v>911</v>
      </c>
      <c r="I184" s="8">
        <v>45354</v>
      </c>
      <c r="J184" s="8">
        <v>45370</v>
      </c>
      <c r="K184" t="s">
        <v>68</v>
      </c>
      <c r="L184" t="s">
        <v>918</v>
      </c>
      <c r="M184">
        <f t="shared" si="6"/>
        <v>16</v>
      </c>
      <c r="N184" s="9">
        <f t="shared" si="7"/>
        <v>0</v>
      </c>
      <c r="O184" s="10" t="str">
        <f t="shared" si="8"/>
        <v>18-25</v>
      </c>
    </row>
    <row r="185" spans="1:15" x14ac:dyDescent="0.3">
      <c r="A185">
        <v>1364</v>
      </c>
      <c r="B185" t="s">
        <v>657</v>
      </c>
      <c r="C185" s="3">
        <v>21</v>
      </c>
      <c r="D185" t="s">
        <v>23</v>
      </c>
      <c r="E185" t="s">
        <v>83</v>
      </c>
      <c r="F185" s="5" t="s">
        <v>723</v>
      </c>
      <c r="G185" s="3">
        <v>5</v>
      </c>
      <c r="H185" t="s">
        <v>912</v>
      </c>
      <c r="I185" s="8">
        <v>45395</v>
      </c>
      <c r="J185" s="8">
        <v>45305</v>
      </c>
      <c r="K185" t="s">
        <v>68</v>
      </c>
      <c r="L185" t="s">
        <v>915</v>
      </c>
      <c r="M185">
        <f t="shared" si="6"/>
        <v>-90</v>
      </c>
      <c r="N185" s="9">
        <f t="shared" si="7"/>
        <v>0</v>
      </c>
      <c r="O185" s="10" t="str">
        <f t="shared" si="8"/>
        <v>18-25</v>
      </c>
    </row>
    <row r="186" spans="1:15" x14ac:dyDescent="0.3">
      <c r="A186">
        <v>1319</v>
      </c>
      <c r="B186" t="s">
        <v>657</v>
      </c>
      <c r="C186" s="3">
        <v>23</v>
      </c>
      <c r="D186" t="s">
        <v>54</v>
      </c>
      <c r="E186" t="s">
        <v>155</v>
      </c>
      <c r="F186" s="5" t="s">
        <v>851</v>
      </c>
      <c r="G186" s="3">
        <v>5</v>
      </c>
      <c r="H186" t="s">
        <v>16</v>
      </c>
      <c r="I186" s="8">
        <v>45598</v>
      </c>
      <c r="J186" s="8">
        <v>45388</v>
      </c>
      <c r="K186" t="s">
        <v>68</v>
      </c>
      <c r="L186" t="s">
        <v>917</v>
      </c>
      <c r="M186">
        <f t="shared" si="6"/>
        <v>-210</v>
      </c>
      <c r="N186" s="9">
        <f t="shared" si="7"/>
        <v>0</v>
      </c>
      <c r="O186" s="10" t="str">
        <f t="shared" si="8"/>
        <v>18-25</v>
      </c>
    </row>
    <row r="187" spans="1:15" x14ac:dyDescent="0.3">
      <c r="A187">
        <v>1340</v>
      </c>
      <c r="B187" t="s">
        <v>660</v>
      </c>
      <c r="C187" s="3">
        <v>23</v>
      </c>
      <c r="D187" t="s">
        <v>661</v>
      </c>
      <c r="E187" t="s">
        <v>83</v>
      </c>
      <c r="F187" s="5" t="s">
        <v>724</v>
      </c>
      <c r="G187" s="3">
        <v>1</v>
      </c>
      <c r="H187" t="s">
        <v>27</v>
      </c>
      <c r="I187" s="8">
        <v>45379</v>
      </c>
      <c r="J187" s="8">
        <v>45335</v>
      </c>
      <c r="K187" t="s">
        <v>68</v>
      </c>
      <c r="L187" t="s">
        <v>915</v>
      </c>
      <c r="M187">
        <f t="shared" si="6"/>
        <v>-44</v>
      </c>
      <c r="N187" s="9">
        <f t="shared" si="7"/>
        <v>0</v>
      </c>
      <c r="O187" s="10" t="str">
        <f t="shared" si="8"/>
        <v>18-25</v>
      </c>
    </row>
    <row r="188" spans="1:15" x14ac:dyDescent="0.3">
      <c r="A188">
        <v>1420</v>
      </c>
      <c r="B188" t="s">
        <v>657</v>
      </c>
      <c r="C188" s="3">
        <v>22</v>
      </c>
      <c r="D188" t="s">
        <v>54</v>
      </c>
      <c r="E188" t="s">
        <v>83</v>
      </c>
      <c r="F188" s="5" t="s">
        <v>852</v>
      </c>
      <c r="G188" s="3" t="s">
        <v>35</v>
      </c>
      <c r="H188" t="s">
        <v>16</v>
      </c>
      <c r="I188" s="8">
        <v>45440</v>
      </c>
      <c r="J188" s="8">
        <v>45425</v>
      </c>
      <c r="K188" t="s">
        <v>39</v>
      </c>
      <c r="L188" t="s">
        <v>914</v>
      </c>
      <c r="M188">
        <f t="shared" si="6"/>
        <v>-15</v>
      </c>
      <c r="N188" s="9">
        <f t="shared" si="7"/>
        <v>1</v>
      </c>
      <c r="O188" s="10" t="str">
        <f t="shared" si="8"/>
        <v>18-25</v>
      </c>
    </row>
    <row r="189" spans="1:15" x14ac:dyDescent="0.3">
      <c r="A189">
        <v>1119</v>
      </c>
      <c r="B189" t="s">
        <v>11</v>
      </c>
      <c r="C189" s="3">
        <v>22</v>
      </c>
      <c r="D189" t="s">
        <v>661</v>
      </c>
      <c r="E189" t="s">
        <v>24</v>
      </c>
      <c r="F189" s="5" t="s">
        <v>800</v>
      </c>
      <c r="G189" s="3" t="s">
        <v>15</v>
      </c>
      <c r="H189" t="s">
        <v>16</v>
      </c>
      <c r="I189" s="8">
        <v>45367</v>
      </c>
      <c r="J189" s="8">
        <v>45318</v>
      </c>
      <c r="K189" t="s">
        <v>19</v>
      </c>
      <c r="L189" t="s">
        <v>914</v>
      </c>
      <c r="M189">
        <f t="shared" si="6"/>
        <v>-49</v>
      </c>
      <c r="N189" s="9">
        <f t="shared" si="7"/>
        <v>0</v>
      </c>
      <c r="O189" s="10" t="str">
        <f t="shared" si="8"/>
        <v>18-25</v>
      </c>
    </row>
    <row r="190" spans="1:15" x14ac:dyDescent="0.3">
      <c r="A190">
        <v>1496</v>
      </c>
      <c r="B190" t="s">
        <v>11</v>
      </c>
      <c r="C190" s="3">
        <v>24</v>
      </c>
      <c r="D190" t="s">
        <v>54</v>
      </c>
      <c r="E190" t="s">
        <v>24</v>
      </c>
      <c r="F190" s="5" t="s">
        <v>895</v>
      </c>
      <c r="G190" s="3" t="s">
        <v>35</v>
      </c>
      <c r="H190" t="s">
        <v>911</v>
      </c>
      <c r="I190" s="8">
        <v>45313</v>
      </c>
      <c r="J190" s="8">
        <v>45388</v>
      </c>
      <c r="K190" t="s">
        <v>39</v>
      </c>
      <c r="L190" t="s">
        <v>919</v>
      </c>
      <c r="M190">
        <f t="shared" si="6"/>
        <v>75</v>
      </c>
      <c r="N190" s="9">
        <f t="shared" si="7"/>
        <v>1</v>
      </c>
      <c r="O190" s="10" t="str">
        <f t="shared" si="8"/>
        <v>18-25</v>
      </c>
    </row>
    <row r="191" spans="1:15" x14ac:dyDescent="0.3">
      <c r="A191">
        <v>1480</v>
      </c>
      <c r="B191" t="s">
        <v>660</v>
      </c>
      <c r="C191" s="3">
        <v>22</v>
      </c>
      <c r="D191" t="s">
        <v>54</v>
      </c>
      <c r="E191" t="s">
        <v>155</v>
      </c>
      <c r="F191" s="5" t="s">
        <v>801</v>
      </c>
      <c r="G191" s="3">
        <v>4</v>
      </c>
      <c r="H191" t="s">
        <v>27</v>
      </c>
      <c r="I191" s="8">
        <v>45432</v>
      </c>
      <c r="J191" s="8">
        <v>45329</v>
      </c>
      <c r="K191" t="s">
        <v>39</v>
      </c>
      <c r="L191" t="s">
        <v>915</v>
      </c>
      <c r="M191">
        <f t="shared" si="6"/>
        <v>-103</v>
      </c>
      <c r="N191" s="9">
        <f t="shared" si="7"/>
        <v>1</v>
      </c>
      <c r="O191" s="10" t="str">
        <f t="shared" si="8"/>
        <v>18-25</v>
      </c>
    </row>
    <row r="192" spans="1:15" x14ac:dyDescent="0.3">
      <c r="A192">
        <v>1377</v>
      </c>
      <c r="B192" t="s">
        <v>657</v>
      </c>
      <c r="C192" s="3">
        <v>25</v>
      </c>
      <c r="D192" t="s">
        <v>54</v>
      </c>
      <c r="E192" t="s">
        <v>24</v>
      </c>
      <c r="F192" s="5" t="s">
        <v>725</v>
      </c>
      <c r="G192" s="3" t="s">
        <v>35</v>
      </c>
      <c r="H192" t="s">
        <v>912</v>
      </c>
      <c r="I192" s="8">
        <v>45404</v>
      </c>
      <c r="J192" s="8">
        <v>45452</v>
      </c>
      <c r="K192" t="s">
        <v>39</v>
      </c>
      <c r="L192" t="s">
        <v>914</v>
      </c>
      <c r="M192">
        <f t="shared" si="6"/>
        <v>48</v>
      </c>
      <c r="N192" s="9">
        <f t="shared" si="7"/>
        <v>1</v>
      </c>
      <c r="O192" s="10" t="str">
        <f t="shared" si="8"/>
        <v>18-25</v>
      </c>
    </row>
    <row r="193" spans="1:15" x14ac:dyDescent="0.3">
      <c r="A193">
        <v>1424</v>
      </c>
      <c r="B193" t="s">
        <v>116</v>
      </c>
      <c r="C193" s="3">
        <v>22</v>
      </c>
      <c r="D193" t="s">
        <v>661</v>
      </c>
      <c r="E193" t="s">
        <v>166</v>
      </c>
      <c r="F193" s="5" t="s">
        <v>802</v>
      </c>
      <c r="G193" s="3">
        <v>5</v>
      </c>
      <c r="H193" t="s">
        <v>911</v>
      </c>
      <c r="I193" s="8">
        <v>45310</v>
      </c>
      <c r="J193" s="8">
        <v>45295</v>
      </c>
      <c r="K193" t="s">
        <v>19</v>
      </c>
      <c r="L193" t="s">
        <v>918</v>
      </c>
      <c r="M193">
        <f t="shared" si="6"/>
        <v>-15</v>
      </c>
      <c r="N193" s="9">
        <f t="shared" si="7"/>
        <v>0</v>
      </c>
      <c r="O193" s="10" t="str">
        <f t="shared" si="8"/>
        <v>18-25</v>
      </c>
    </row>
    <row r="194" spans="1:15" x14ac:dyDescent="0.3">
      <c r="A194">
        <v>1472</v>
      </c>
      <c r="B194" t="s">
        <v>21</v>
      </c>
      <c r="C194" s="3">
        <v>22</v>
      </c>
      <c r="D194" t="s">
        <v>661</v>
      </c>
      <c r="E194" t="s">
        <v>83</v>
      </c>
      <c r="F194" s="5" t="s">
        <v>803</v>
      </c>
      <c r="G194" s="3">
        <v>4</v>
      </c>
      <c r="H194" t="s">
        <v>911</v>
      </c>
      <c r="I194" s="8">
        <v>45324</v>
      </c>
      <c r="J194" s="8">
        <v>45366</v>
      </c>
      <c r="K194" t="s">
        <v>19</v>
      </c>
      <c r="L194" t="s">
        <v>920</v>
      </c>
      <c r="M194">
        <f t="shared" ref="M194:M257" si="9">J194-I194</f>
        <v>42</v>
      </c>
      <c r="N194" s="9">
        <f t="shared" ref="N194:N257" si="10">IF(K194="Active", 1, 0)</f>
        <v>0</v>
      </c>
      <c r="O194" s="10" t="str">
        <f t="shared" ref="O194:O257" si="11">IF(C194&lt;=25, "18-25", IF(C194&lt;=35, "26-35", IF(C194&lt;=50, "36-50", "51+")))</f>
        <v>18-25</v>
      </c>
    </row>
    <row r="195" spans="1:15" x14ac:dyDescent="0.3">
      <c r="A195">
        <v>1372</v>
      </c>
      <c r="B195" t="s">
        <v>660</v>
      </c>
      <c r="C195" s="3">
        <v>22</v>
      </c>
      <c r="D195" t="s">
        <v>23</v>
      </c>
      <c r="E195" t="s">
        <v>24</v>
      </c>
      <c r="F195" s="5" t="s">
        <v>896</v>
      </c>
      <c r="G195" s="3" t="s">
        <v>35</v>
      </c>
      <c r="H195" t="s">
        <v>911</v>
      </c>
      <c r="I195" s="8">
        <v>45343</v>
      </c>
      <c r="J195" s="8">
        <v>45308</v>
      </c>
      <c r="K195" t="s">
        <v>39</v>
      </c>
      <c r="L195" t="s">
        <v>920</v>
      </c>
      <c r="M195">
        <f t="shared" si="9"/>
        <v>-35</v>
      </c>
      <c r="N195" s="9">
        <f t="shared" si="10"/>
        <v>1</v>
      </c>
      <c r="O195" s="10" t="str">
        <f t="shared" si="11"/>
        <v>18-25</v>
      </c>
    </row>
    <row r="196" spans="1:15" x14ac:dyDescent="0.3">
      <c r="A196">
        <v>1250</v>
      </c>
      <c r="B196" t="s">
        <v>657</v>
      </c>
      <c r="C196" s="3">
        <v>22</v>
      </c>
      <c r="D196" t="s">
        <v>23</v>
      </c>
      <c r="E196" t="s">
        <v>24</v>
      </c>
      <c r="F196" s="5" t="s">
        <v>853</v>
      </c>
      <c r="G196" s="3" t="s">
        <v>70</v>
      </c>
      <c r="H196" t="s">
        <v>16</v>
      </c>
      <c r="I196" s="8">
        <v>45312</v>
      </c>
      <c r="J196" s="8">
        <v>45446</v>
      </c>
      <c r="K196" t="s">
        <v>68</v>
      </c>
      <c r="L196" t="s">
        <v>917</v>
      </c>
      <c r="M196">
        <f t="shared" si="9"/>
        <v>134</v>
      </c>
      <c r="N196" s="9">
        <f t="shared" si="10"/>
        <v>0</v>
      </c>
      <c r="O196" s="10" t="str">
        <f t="shared" si="11"/>
        <v>18-25</v>
      </c>
    </row>
    <row r="197" spans="1:15" x14ac:dyDescent="0.3">
      <c r="A197">
        <v>1447</v>
      </c>
      <c r="B197" t="s">
        <v>21</v>
      </c>
      <c r="C197" s="3">
        <v>22</v>
      </c>
      <c r="D197" t="s">
        <v>23</v>
      </c>
      <c r="E197" t="s">
        <v>24</v>
      </c>
      <c r="F197" s="5" t="s">
        <v>726</v>
      </c>
      <c r="G197" s="3">
        <v>5</v>
      </c>
      <c r="H197" t="s">
        <v>911</v>
      </c>
      <c r="I197" s="8">
        <v>45378</v>
      </c>
      <c r="J197" s="8">
        <v>45384</v>
      </c>
      <c r="K197" t="s">
        <v>68</v>
      </c>
      <c r="L197" t="s">
        <v>919</v>
      </c>
      <c r="M197">
        <f t="shared" si="9"/>
        <v>6</v>
      </c>
      <c r="N197" s="9">
        <f t="shared" si="10"/>
        <v>0</v>
      </c>
      <c r="O197" s="10" t="str">
        <f t="shared" si="11"/>
        <v>18-25</v>
      </c>
    </row>
    <row r="198" spans="1:15" x14ac:dyDescent="0.3">
      <c r="A198">
        <v>1058</v>
      </c>
      <c r="B198" t="s">
        <v>11</v>
      </c>
      <c r="C198" s="3">
        <v>24</v>
      </c>
      <c r="D198" t="s">
        <v>23</v>
      </c>
      <c r="E198" t="s">
        <v>24</v>
      </c>
      <c r="F198" s="5" t="s">
        <v>897</v>
      </c>
      <c r="G198" s="3" t="s">
        <v>15</v>
      </c>
      <c r="H198" t="s">
        <v>911</v>
      </c>
      <c r="I198" s="8">
        <v>45318</v>
      </c>
      <c r="J198" s="8">
        <v>45314</v>
      </c>
      <c r="K198" t="s">
        <v>19</v>
      </c>
      <c r="L198" t="s">
        <v>915</v>
      </c>
      <c r="M198">
        <f t="shared" si="9"/>
        <v>-4</v>
      </c>
      <c r="N198" s="9">
        <f t="shared" si="10"/>
        <v>0</v>
      </c>
      <c r="O198" s="10" t="str">
        <f t="shared" si="11"/>
        <v>18-25</v>
      </c>
    </row>
    <row r="199" spans="1:15" x14ac:dyDescent="0.3">
      <c r="A199">
        <v>1077</v>
      </c>
      <c r="B199" t="s">
        <v>660</v>
      </c>
      <c r="C199" s="3">
        <v>25</v>
      </c>
      <c r="D199" t="s">
        <v>23</v>
      </c>
      <c r="E199" t="s">
        <v>155</v>
      </c>
      <c r="F199" s="5" t="s">
        <v>727</v>
      </c>
      <c r="G199" s="3" t="s">
        <v>70</v>
      </c>
      <c r="H199" t="s">
        <v>912</v>
      </c>
      <c r="I199" s="8">
        <v>45355</v>
      </c>
      <c r="J199" s="8">
        <v>45354</v>
      </c>
      <c r="K199" t="s">
        <v>19</v>
      </c>
      <c r="L199" t="s">
        <v>920</v>
      </c>
      <c r="M199">
        <f t="shared" si="9"/>
        <v>-1</v>
      </c>
      <c r="N199" s="9">
        <f t="shared" si="10"/>
        <v>0</v>
      </c>
      <c r="O199" s="10" t="str">
        <f t="shared" si="11"/>
        <v>18-25</v>
      </c>
    </row>
    <row r="200" spans="1:15" x14ac:dyDescent="0.3">
      <c r="A200">
        <v>1008</v>
      </c>
      <c r="B200" t="s">
        <v>11</v>
      </c>
      <c r="C200" s="3">
        <v>21</v>
      </c>
      <c r="D200" t="s">
        <v>23</v>
      </c>
      <c r="E200" t="s">
        <v>155</v>
      </c>
      <c r="F200" s="5" t="s">
        <v>854</v>
      </c>
      <c r="G200" s="3" t="s">
        <v>35</v>
      </c>
      <c r="H200" t="s">
        <v>912</v>
      </c>
      <c r="I200" s="8">
        <v>45398</v>
      </c>
      <c r="J200" s="8">
        <v>45429</v>
      </c>
      <c r="K200" t="s">
        <v>39</v>
      </c>
      <c r="L200" t="s">
        <v>918</v>
      </c>
      <c r="M200">
        <f t="shared" si="9"/>
        <v>31</v>
      </c>
      <c r="N200" s="9">
        <f t="shared" si="10"/>
        <v>1</v>
      </c>
      <c r="O200" s="10" t="str">
        <f t="shared" si="11"/>
        <v>18-25</v>
      </c>
    </row>
    <row r="201" spans="1:15" x14ac:dyDescent="0.3">
      <c r="A201">
        <v>1206</v>
      </c>
      <c r="B201" t="s">
        <v>11</v>
      </c>
      <c r="C201" s="3">
        <v>22</v>
      </c>
      <c r="D201" t="s">
        <v>23</v>
      </c>
      <c r="E201" t="s">
        <v>83</v>
      </c>
      <c r="F201" s="5" t="s">
        <v>898</v>
      </c>
      <c r="G201" s="3" t="s">
        <v>65</v>
      </c>
      <c r="H201" t="s">
        <v>911</v>
      </c>
      <c r="I201" s="8">
        <v>45438</v>
      </c>
      <c r="J201" s="8">
        <v>45372</v>
      </c>
      <c r="K201" t="s">
        <v>68</v>
      </c>
      <c r="L201" t="s">
        <v>920</v>
      </c>
      <c r="M201">
        <f t="shared" si="9"/>
        <v>-66</v>
      </c>
      <c r="N201" s="9">
        <f t="shared" si="10"/>
        <v>0</v>
      </c>
      <c r="O201" s="10" t="str">
        <f t="shared" si="11"/>
        <v>18-25</v>
      </c>
    </row>
    <row r="202" spans="1:15" x14ac:dyDescent="0.3">
      <c r="A202">
        <v>1390</v>
      </c>
      <c r="B202" t="s">
        <v>659</v>
      </c>
      <c r="C202" s="3">
        <v>22</v>
      </c>
      <c r="D202" t="s">
        <v>23</v>
      </c>
      <c r="E202" t="s">
        <v>24</v>
      </c>
      <c r="F202" s="5" t="s">
        <v>804</v>
      </c>
      <c r="G202" s="3">
        <v>5</v>
      </c>
      <c r="H202" t="s">
        <v>27</v>
      </c>
      <c r="I202" s="8">
        <v>45398</v>
      </c>
      <c r="J202" s="8">
        <v>45301</v>
      </c>
      <c r="K202" t="s">
        <v>39</v>
      </c>
      <c r="L202" t="s">
        <v>915</v>
      </c>
      <c r="M202">
        <f t="shared" si="9"/>
        <v>-97</v>
      </c>
      <c r="N202" s="9">
        <f t="shared" si="10"/>
        <v>1</v>
      </c>
      <c r="O202" s="10" t="str">
        <f t="shared" si="11"/>
        <v>18-25</v>
      </c>
    </row>
    <row r="203" spans="1:15" x14ac:dyDescent="0.3">
      <c r="A203">
        <v>1065</v>
      </c>
      <c r="B203" t="s">
        <v>11</v>
      </c>
      <c r="C203" s="3">
        <v>19</v>
      </c>
      <c r="D203" t="s">
        <v>661</v>
      </c>
      <c r="E203" t="s">
        <v>166</v>
      </c>
      <c r="F203" s="5" t="s">
        <v>805</v>
      </c>
      <c r="G203" s="3" t="s">
        <v>35</v>
      </c>
      <c r="H203" t="s">
        <v>16</v>
      </c>
      <c r="I203" s="8">
        <v>45387</v>
      </c>
      <c r="J203" s="8">
        <v>45310</v>
      </c>
      <c r="K203" t="s">
        <v>39</v>
      </c>
      <c r="L203" t="s">
        <v>920</v>
      </c>
      <c r="M203">
        <f t="shared" si="9"/>
        <v>-77</v>
      </c>
      <c r="N203" s="9">
        <f t="shared" si="10"/>
        <v>1</v>
      </c>
      <c r="O203" s="10" t="str">
        <f t="shared" si="11"/>
        <v>18-25</v>
      </c>
    </row>
    <row r="204" spans="1:15" x14ac:dyDescent="0.3">
      <c r="A204">
        <v>1222</v>
      </c>
      <c r="B204" t="s">
        <v>135</v>
      </c>
      <c r="C204" s="3">
        <v>21</v>
      </c>
      <c r="D204" t="s">
        <v>54</v>
      </c>
      <c r="E204" t="s">
        <v>166</v>
      </c>
      <c r="F204" s="5" t="s">
        <v>899</v>
      </c>
      <c r="G204" s="3" t="s">
        <v>15</v>
      </c>
      <c r="H204" t="s">
        <v>912</v>
      </c>
      <c r="I204" s="8">
        <v>45566</v>
      </c>
      <c r="J204" s="8">
        <v>45370</v>
      </c>
      <c r="K204" t="s">
        <v>39</v>
      </c>
      <c r="L204" t="s">
        <v>918</v>
      </c>
      <c r="M204">
        <f t="shared" si="9"/>
        <v>-196</v>
      </c>
      <c r="N204" s="9">
        <f t="shared" si="10"/>
        <v>1</v>
      </c>
      <c r="O204" s="10" t="str">
        <f t="shared" si="11"/>
        <v>18-25</v>
      </c>
    </row>
    <row r="205" spans="1:15" x14ac:dyDescent="0.3">
      <c r="A205">
        <v>1198</v>
      </c>
      <c r="B205" t="s">
        <v>116</v>
      </c>
      <c r="C205" s="3">
        <v>22</v>
      </c>
      <c r="D205" t="s">
        <v>54</v>
      </c>
      <c r="E205" t="s">
        <v>155</v>
      </c>
      <c r="F205" s="5" t="s">
        <v>855</v>
      </c>
      <c r="G205" s="3">
        <v>1</v>
      </c>
      <c r="H205" t="s">
        <v>911</v>
      </c>
      <c r="I205" s="8">
        <v>45344</v>
      </c>
      <c r="J205" s="8">
        <v>45295</v>
      </c>
      <c r="K205" t="s">
        <v>19</v>
      </c>
      <c r="L205" t="s">
        <v>917</v>
      </c>
      <c r="M205">
        <f t="shared" si="9"/>
        <v>-49</v>
      </c>
      <c r="N205" s="9">
        <f t="shared" si="10"/>
        <v>0</v>
      </c>
      <c r="O205" s="10" t="str">
        <f t="shared" si="11"/>
        <v>18-25</v>
      </c>
    </row>
    <row r="206" spans="1:15" x14ac:dyDescent="0.3">
      <c r="A206">
        <v>1040</v>
      </c>
      <c r="B206" t="s">
        <v>660</v>
      </c>
      <c r="C206" s="3">
        <v>21</v>
      </c>
      <c r="D206" t="s">
        <v>54</v>
      </c>
      <c r="E206" t="s">
        <v>83</v>
      </c>
      <c r="F206" s="5" t="s">
        <v>856</v>
      </c>
      <c r="G206" s="3" t="s">
        <v>15</v>
      </c>
      <c r="H206" t="s">
        <v>912</v>
      </c>
      <c r="I206" s="8">
        <v>45404</v>
      </c>
      <c r="J206" s="8">
        <v>45385</v>
      </c>
      <c r="K206" t="s">
        <v>39</v>
      </c>
      <c r="L206" t="s">
        <v>918</v>
      </c>
      <c r="M206">
        <f t="shared" si="9"/>
        <v>-19</v>
      </c>
      <c r="N206" s="9">
        <f t="shared" si="10"/>
        <v>1</v>
      </c>
      <c r="O206" s="10" t="str">
        <f t="shared" si="11"/>
        <v>18-25</v>
      </c>
    </row>
    <row r="207" spans="1:15" x14ac:dyDescent="0.3">
      <c r="A207">
        <v>1375</v>
      </c>
      <c r="B207" t="s">
        <v>116</v>
      </c>
      <c r="C207" s="3">
        <v>22</v>
      </c>
      <c r="D207" t="s">
        <v>54</v>
      </c>
      <c r="E207" t="s">
        <v>155</v>
      </c>
      <c r="F207" s="5" t="s">
        <v>857</v>
      </c>
      <c r="G207" s="3">
        <v>1</v>
      </c>
      <c r="H207" t="s">
        <v>16</v>
      </c>
      <c r="I207" s="8">
        <v>45329</v>
      </c>
      <c r="J207" s="8">
        <v>45339</v>
      </c>
      <c r="K207" t="s">
        <v>39</v>
      </c>
      <c r="L207" t="s">
        <v>920</v>
      </c>
      <c r="M207">
        <f t="shared" si="9"/>
        <v>10</v>
      </c>
      <c r="N207" s="9">
        <f t="shared" si="10"/>
        <v>1</v>
      </c>
      <c r="O207" s="10" t="str">
        <f t="shared" si="11"/>
        <v>18-25</v>
      </c>
    </row>
    <row r="208" spans="1:15" x14ac:dyDescent="0.3">
      <c r="A208">
        <v>1458</v>
      </c>
      <c r="B208" t="s">
        <v>21</v>
      </c>
      <c r="C208" s="3">
        <v>21</v>
      </c>
      <c r="D208" t="s">
        <v>54</v>
      </c>
      <c r="E208" t="s">
        <v>24</v>
      </c>
      <c r="F208" s="5" t="s">
        <v>858</v>
      </c>
      <c r="G208" s="3">
        <v>1</v>
      </c>
      <c r="H208" t="s">
        <v>912</v>
      </c>
      <c r="I208" s="8">
        <v>45471</v>
      </c>
      <c r="J208" s="8">
        <v>45383</v>
      </c>
      <c r="K208" t="s">
        <v>68</v>
      </c>
      <c r="L208" t="s">
        <v>917</v>
      </c>
      <c r="M208">
        <f t="shared" si="9"/>
        <v>-88</v>
      </c>
      <c r="N208" s="9">
        <f t="shared" si="10"/>
        <v>0</v>
      </c>
      <c r="O208" s="10" t="str">
        <f t="shared" si="11"/>
        <v>18-25</v>
      </c>
    </row>
    <row r="209" spans="1:15" x14ac:dyDescent="0.3">
      <c r="A209">
        <v>1076</v>
      </c>
      <c r="B209" t="s">
        <v>21</v>
      </c>
      <c r="C209" s="3">
        <v>23</v>
      </c>
      <c r="D209" t="s">
        <v>54</v>
      </c>
      <c r="E209" t="s">
        <v>24</v>
      </c>
      <c r="F209" s="5" t="s">
        <v>728</v>
      </c>
      <c r="G209" s="3" t="s">
        <v>35</v>
      </c>
      <c r="H209" t="s">
        <v>16</v>
      </c>
      <c r="I209" s="8">
        <v>45294</v>
      </c>
      <c r="J209" s="8">
        <v>45407</v>
      </c>
      <c r="K209" t="s">
        <v>68</v>
      </c>
      <c r="L209" t="s">
        <v>916</v>
      </c>
      <c r="M209">
        <f t="shared" si="9"/>
        <v>113</v>
      </c>
      <c r="N209" s="9">
        <f t="shared" si="10"/>
        <v>0</v>
      </c>
      <c r="O209" s="10" t="str">
        <f t="shared" si="11"/>
        <v>18-25</v>
      </c>
    </row>
    <row r="210" spans="1:15" x14ac:dyDescent="0.3">
      <c r="A210">
        <v>1460</v>
      </c>
      <c r="B210" t="s">
        <v>11</v>
      </c>
      <c r="C210" s="3">
        <v>22</v>
      </c>
      <c r="D210" t="s">
        <v>661</v>
      </c>
      <c r="E210" t="s">
        <v>83</v>
      </c>
      <c r="F210" s="5" t="s">
        <v>900</v>
      </c>
      <c r="G210" s="3">
        <v>1</v>
      </c>
      <c r="H210" t="s">
        <v>911</v>
      </c>
      <c r="I210" s="8">
        <v>45305</v>
      </c>
      <c r="J210" s="8">
        <v>45376</v>
      </c>
      <c r="K210" t="s">
        <v>68</v>
      </c>
      <c r="L210" t="s">
        <v>915</v>
      </c>
      <c r="M210">
        <f t="shared" si="9"/>
        <v>71</v>
      </c>
      <c r="N210" s="9">
        <f t="shared" si="10"/>
        <v>0</v>
      </c>
      <c r="O210" s="10" t="str">
        <f t="shared" si="11"/>
        <v>18-25</v>
      </c>
    </row>
    <row r="211" spans="1:15" x14ac:dyDescent="0.3">
      <c r="A211">
        <v>1153</v>
      </c>
      <c r="B211" t="s">
        <v>660</v>
      </c>
      <c r="C211" s="3">
        <v>22</v>
      </c>
      <c r="D211" t="s">
        <v>54</v>
      </c>
      <c r="E211" t="s">
        <v>166</v>
      </c>
      <c r="F211" s="5" t="s">
        <v>729</v>
      </c>
      <c r="G211" s="3" t="s">
        <v>49</v>
      </c>
      <c r="H211" t="s">
        <v>16</v>
      </c>
      <c r="I211" s="8">
        <v>45508</v>
      </c>
      <c r="J211" s="8">
        <v>45446</v>
      </c>
      <c r="K211" t="s">
        <v>913</v>
      </c>
      <c r="L211" t="s">
        <v>918</v>
      </c>
      <c r="M211">
        <f t="shared" si="9"/>
        <v>-62</v>
      </c>
      <c r="N211" s="9">
        <f t="shared" si="10"/>
        <v>0</v>
      </c>
      <c r="O211" s="10" t="str">
        <f t="shared" si="11"/>
        <v>18-25</v>
      </c>
    </row>
    <row r="212" spans="1:15" x14ac:dyDescent="0.3">
      <c r="A212">
        <v>1490</v>
      </c>
      <c r="B212" t="s">
        <v>660</v>
      </c>
      <c r="C212" s="3">
        <v>24</v>
      </c>
      <c r="D212" t="s">
        <v>54</v>
      </c>
      <c r="E212" t="s">
        <v>83</v>
      </c>
      <c r="F212" s="5" t="s">
        <v>901</v>
      </c>
      <c r="G212" s="3" t="s">
        <v>15</v>
      </c>
      <c r="H212" t="s">
        <v>912</v>
      </c>
      <c r="I212" s="8">
        <v>45438</v>
      </c>
      <c r="J212" s="8">
        <v>45295</v>
      </c>
      <c r="K212" t="s">
        <v>39</v>
      </c>
      <c r="L212" t="s">
        <v>918</v>
      </c>
      <c r="M212">
        <f t="shared" si="9"/>
        <v>-143</v>
      </c>
      <c r="N212" s="9">
        <f t="shared" si="10"/>
        <v>1</v>
      </c>
      <c r="O212" s="10" t="str">
        <f t="shared" si="11"/>
        <v>18-25</v>
      </c>
    </row>
    <row r="213" spans="1:15" x14ac:dyDescent="0.3">
      <c r="A213">
        <v>1123</v>
      </c>
      <c r="B213" t="s">
        <v>11</v>
      </c>
      <c r="C213" s="3">
        <v>25</v>
      </c>
      <c r="D213" t="s">
        <v>661</v>
      </c>
      <c r="E213" t="s">
        <v>83</v>
      </c>
      <c r="F213" s="5" t="s">
        <v>730</v>
      </c>
      <c r="G213" s="3">
        <v>1</v>
      </c>
      <c r="H213" t="s">
        <v>911</v>
      </c>
      <c r="I213" s="8">
        <v>45370</v>
      </c>
      <c r="J213" s="8">
        <v>45339</v>
      </c>
      <c r="K213" t="s">
        <v>19</v>
      </c>
      <c r="L213" t="s">
        <v>915</v>
      </c>
      <c r="M213">
        <f t="shared" si="9"/>
        <v>-31</v>
      </c>
      <c r="N213" s="9">
        <f t="shared" si="10"/>
        <v>0</v>
      </c>
      <c r="O213" s="10" t="str">
        <f t="shared" si="11"/>
        <v>18-25</v>
      </c>
    </row>
    <row r="214" spans="1:15" x14ac:dyDescent="0.3">
      <c r="A214">
        <v>1497</v>
      </c>
      <c r="B214" t="s">
        <v>660</v>
      </c>
      <c r="C214" s="3">
        <v>24</v>
      </c>
      <c r="D214" t="s">
        <v>23</v>
      </c>
      <c r="E214" t="s">
        <v>83</v>
      </c>
      <c r="F214" s="5" t="s">
        <v>902</v>
      </c>
      <c r="G214" s="3" t="s">
        <v>35</v>
      </c>
      <c r="H214" t="s">
        <v>911</v>
      </c>
      <c r="I214" s="8">
        <v>45292</v>
      </c>
      <c r="J214" s="8">
        <v>45431</v>
      </c>
      <c r="K214" t="s">
        <v>39</v>
      </c>
      <c r="L214" t="s">
        <v>916</v>
      </c>
      <c r="M214">
        <f t="shared" si="9"/>
        <v>139</v>
      </c>
      <c r="N214" s="9">
        <f t="shared" si="10"/>
        <v>1</v>
      </c>
      <c r="O214" s="10" t="str">
        <f t="shared" si="11"/>
        <v>18-25</v>
      </c>
    </row>
    <row r="215" spans="1:15" x14ac:dyDescent="0.3">
      <c r="A215">
        <v>1135</v>
      </c>
      <c r="B215" t="s">
        <v>116</v>
      </c>
      <c r="C215" s="3">
        <v>23</v>
      </c>
      <c r="D215" t="s">
        <v>54</v>
      </c>
      <c r="E215" t="s">
        <v>24</v>
      </c>
      <c r="F215" s="5" t="s">
        <v>806</v>
      </c>
      <c r="G215" s="3">
        <v>1</v>
      </c>
      <c r="H215" t="s">
        <v>911</v>
      </c>
      <c r="I215" s="8">
        <v>45358</v>
      </c>
      <c r="J215" s="8">
        <v>45301</v>
      </c>
      <c r="K215" t="s">
        <v>39</v>
      </c>
      <c r="L215" t="s">
        <v>915</v>
      </c>
      <c r="M215">
        <f t="shared" si="9"/>
        <v>-57</v>
      </c>
      <c r="N215" s="9">
        <f t="shared" si="10"/>
        <v>1</v>
      </c>
      <c r="O215" s="10" t="str">
        <f t="shared" si="11"/>
        <v>18-25</v>
      </c>
    </row>
    <row r="216" spans="1:15" x14ac:dyDescent="0.3">
      <c r="A216">
        <v>1269</v>
      </c>
      <c r="B216" t="s">
        <v>659</v>
      </c>
      <c r="C216" s="3">
        <v>25</v>
      </c>
      <c r="D216" t="s">
        <v>54</v>
      </c>
      <c r="E216" t="s">
        <v>83</v>
      </c>
      <c r="F216" s="5" t="s">
        <v>807</v>
      </c>
      <c r="G216" s="3">
        <v>4</v>
      </c>
      <c r="H216" t="s">
        <v>27</v>
      </c>
      <c r="I216" s="8">
        <v>45448</v>
      </c>
      <c r="J216" s="8">
        <v>45366</v>
      </c>
      <c r="K216" t="s">
        <v>39</v>
      </c>
      <c r="L216" t="s">
        <v>914</v>
      </c>
      <c r="M216">
        <f t="shared" si="9"/>
        <v>-82</v>
      </c>
      <c r="N216" s="9">
        <f t="shared" si="10"/>
        <v>1</v>
      </c>
      <c r="O216" s="10" t="str">
        <f t="shared" si="11"/>
        <v>18-25</v>
      </c>
    </row>
    <row r="217" spans="1:15" x14ac:dyDescent="0.3">
      <c r="A217">
        <v>1428</v>
      </c>
      <c r="B217" t="s">
        <v>657</v>
      </c>
      <c r="C217" s="3">
        <v>19</v>
      </c>
      <c r="D217" t="s">
        <v>23</v>
      </c>
      <c r="E217" t="s">
        <v>155</v>
      </c>
      <c r="F217" s="5" t="s">
        <v>859</v>
      </c>
      <c r="G217" s="3" t="s">
        <v>35</v>
      </c>
      <c r="H217" t="s">
        <v>912</v>
      </c>
      <c r="I217" s="8">
        <v>45429</v>
      </c>
      <c r="J217" s="8">
        <v>45298</v>
      </c>
      <c r="K217" t="s">
        <v>19</v>
      </c>
      <c r="L217" t="s">
        <v>915</v>
      </c>
      <c r="M217">
        <f t="shared" si="9"/>
        <v>-131</v>
      </c>
      <c r="N217" s="9">
        <f t="shared" si="10"/>
        <v>0</v>
      </c>
      <c r="O217" s="10" t="str">
        <f t="shared" si="11"/>
        <v>18-25</v>
      </c>
    </row>
    <row r="218" spans="1:15" x14ac:dyDescent="0.3">
      <c r="A218">
        <v>1251</v>
      </c>
      <c r="B218" t="s">
        <v>660</v>
      </c>
      <c r="C218" s="3">
        <v>19</v>
      </c>
      <c r="D218" t="s">
        <v>23</v>
      </c>
      <c r="E218" t="s">
        <v>83</v>
      </c>
      <c r="F218" s="5" t="s">
        <v>860</v>
      </c>
      <c r="G218" s="3" t="s">
        <v>65</v>
      </c>
      <c r="H218" t="s">
        <v>911</v>
      </c>
      <c r="I218" s="8">
        <v>45346</v>
      </c>
      <c r="J218" s="8">
        <v>45303</v>
      </c>
      <c r="K218" t="s">
        <v>39</v>
      </c>
      <c r="L218" t="s">
        <v>915</v>
      </c>
      <c r="M218">
        <f t="shared" si="9"/>
        <v>-43</v>
      </c>
      <c r="N218" s="9">
        <f t="shared" si="10"/>
        <v>1</v>
      </c>
      <c r="O218" s="10" t="str">
        <f t="shared" si="11"/>
        <v>18-25</v>
      </c>
    </row>
    <row r="219" spans="1:15" x14ac:dyDescent="0.3">
      <c r="A219">
        <v>1257</v>
      </c>
      <c r="B219" t="s">
        <v>135</v>
      </c>
      <c r="C219" s="3">
        <v>24</v>
      </c>
      <c r="D219" t="s">
        <v>54</v>
      </c>
      <c r="E219" t="s">
        <v>24</v>
      </c>
      <c r="F219" s="5" t="s">
        <v>731</v>
      </c>
      <c r="G219" s="3">
        <v>4</v>
      </c>
      <c r="H219" t="s">
        <v>16</v>
      </c>
      <c r="I219" s="8">
        <v>45294</v>
      </c>
      <c r="J219" s="8">
        <v>45453</v>
      </c>
      <c r="K219" t="s">
        <v>19</v>
      </c>
      <c r="L219" t="s">
        <v>914</v>
      </c>
      <c r="M219">
        <f t="shared" si="9"/>
        <v>159</v>
      </c>
      <c r="N219" s="9">
        <f t="shared" si="10"/>
        <v>0</v>
      </c>
      <c r="O219" s="10" t="str">
        <f t="shared" si="11"/>
        <v>18-25</v>
      </c>
    </row>
    <row r="220" spans="1:15" x14ac:dyDescent="0.3">
      <c r="A220">
        <v>1247</v>
      </c>
      <c r="B220" t="s">
        <v>21</v>
      </c>
      <c r="C220" s="3">
        <v>24</v>
      </c>
      <c r="D220" t="s">
        <v>661</v>
      </c>
      <c r="E220" t="s">
        <v>155</v>
      </c>
      <c r="F220" s="5" t="s">
        <v>808</v>
      </c>
      <c r="G220" s="3">
        <v>4</v>
      </c>
      <c r="H220" t="s">
        <v>16</v>
      </c>
      <c r="I220" s="8">
        <v>45398</v>
      </c>
      <c r="J220" s="8">
        <v>45413</v>
      </c>
      <c r="K220" t="s">
        <v>19</v>
      </c>
      <c r="L220" t="s">
        <v>916</v>
      </c>
      <c r="M220">
        <f t="shared" si="9"/>
        <v>15</v>
      </c>
      <c r="N220" s="9">
        <f t="shared" si="10"/>
        <v>0</v>
      </c>
      <c r="O220" s="10" t="str">
        <f t="shared" si="11"/>
        <v>18-25</v>
      </c>
    </row>
    <row r="221" spans="1:15" x14ac:dyDescent="0.3">
      <c r="A221">
        <v>1169</v>
      </c>
      <c r="B221" t="s">
        <v>135</v>
      </c>
      <c r="C221" s="3">
        <v>22</v>
      </c>
      <c r="D221" t="s">
        <v>23</v>
      </c>
      <c r="E221" t="s">
        <v>166</v>
      </c>
      <c r="F221" s="5" t="s">
        <v>809</v>
      </c>
      <c r="G221" s="3">
        <v>5</v>
      </c>
      <c r="H221" t="s">
        <v>912</v>
      </c>
      <c r="I221" s="8">
        <v>45437</v>
      </c>
      <c r="J221" s="8">
        <v>45383</v>
      </c>
      <c r="K221" t="s">
        <v>39</v>
      </c>
      <c r="L221" t="s">
        <v>919</v>
      </c>
      <c r="M221">
        <f t="shared" si="9"/>
        <v>-54</v>
      </c>
      <c r="N221" s="9">
        <f t="shared" si="10"/>
        <v>1</v>
      </c>
      <c r="O221" s="10" t="str">
        <f t="shared" si="11"/>
        <v>18-25</v>
      </c>
    </row>
    <row r="222" spans="1:15" x14ac:dyDescent="0.3">
      <c r="A222">
        <v>1206</v>
      </c>
      <c r="B222" t="s">
        <v>21</v>
      </c>
      <c r="C222" s="3">
        <v>22</v>
      </c>
      <c r="D222" t="s">
        <v>661</v>
      </c>
      <c r="E222" t="s">
        <v>24</v>
      </c>
      <c r="F222" s="5" t="s">
        <v>903</v>
      </c>
      <c r="G222" s="3">
        <v>1</v>
      </c>
      <c r="H222" t="s">
        <v>912</v>
      </c>
      <c r="I222" s="8">
        <v>45438</v>
      </c>
      <c r="J222" s="8">
        <v>45427</v>
      </c>
      <c r="K222" t="s">
        <v>68</v>
      </c>
      <c r="L222" t="s">
        <v>915</v>
      </c>
      <c r="M222">
        <f t="shared" si="9"/>
        <v>-11</v>
      </c>
      <c r="N222" s="9">
        <f t="shared" si="10"/>
        <v>0</v>
      </c>
      <c r="O222" s="10" t="str">
        <f t="shared" si="11"/>
        <v>18-25</v>
      </c>
    </row>
    <row r="223" spans="1:15" x14ac:dyDescent="0.3">
      <c r="A223">
        <v>1440</v>
      </c>
      <c r="B223" t="s">
        <v>657</v>
      </c>
      <c r="C223" s="3">
        <v>18</v>
      </c>
      <c r="D223" t="s">
        <v>23</v>
      </c>
      <c r="E223" t="s">
        <v>166</v>
      </c>
      <c r="F223" s="5" t="s">
        <v>732</v>
      </c>
      <c r="G223" s="3" t="s">
        <v>70</v>
      </c>
      <c r="H223" t="s">
        <v>27</v>
      </c>
      <c r="I223" s="8">
        <v>45326</v>
      </c>
      <c r="J223" s="8">
        <v>45431</v>
      </c>
      <c r="K223" t="s">
        <v>39</v>
      </c>
      <c r="L223" t="s">
        <v>920</v>
      </c>
      <c r="M223">
        <f t="shared" si="9"/>
        <v>105</v>
      </c>
      <c r="N223" s="9">
        <f t="shared" si="10"/>
        <v>1</v>
      </c>
      <c r="O223" s="10" t="str">
        <f t="shared" si="11"/>
        <v>18-25</v>
      </c>
    </row>
    <row r="224" spans="1:15" x14ac:dyDescent="0.3">
      <c r="A224">
        <v>1471</v>
      </c>
      <c r="B224" t="s">
        <v>659</v>
      </c>
      <c r="C224" s="3">
        <v>22</v>
      </c>
      <c r="D224" t="s">
        <v>54</v>
      </c>
      <c r="E224" t="s">
        <v>83</v>
      </c>
      <c r="F224" s="5" t="s">
        <v>733</v>
      </c>
      <c r="G224" s="3" t="s">
        <v>15</v>
      </c>
      <c r="H224" t="s">
        <v>911</v>
      </c>
      <c r="I224" s="8">
        <v>45457</v>
      </c>
      <c r="J224" s="8">
        <v>45352</v>
      </c>
      <c r="K224" t="s">
        <v>39</v>
      </c>
      <c r="L224" t="s">
        <v>918</v>
      </c>
      <c r="M224">
        <f t="shared" si="9"/>
        <v>-105</v>
      </c>
      <c r="N224" s="9">
        <f t="shared" si="10"/>
        <v>1</v>
      </c>
      <c r="O224" s="10" t="str">
        <f t="shared" si="11"/>
        <v>18-25</v>
      </c>
    </row>
    <row r="225" spans="1:15" x14ac:dyDescent="0.3">
      <c r="A225">
        <v>1063</v>
      </c>
      <c r="B225" t="s">
        <v>660</v>
      </c>
      <c r="C225" s="3">
        <v>22</v>
      </c>
      <c r="D225" t="s">
        <v>54</v>
      </c>
      <c r="E225" t="s">
        <v>24</v>
      </c>
      <c r="F225" s="5" t="s">
        <v>734</v>
      </c>
      <c r="G225" s="3" t="s">
        <v>15</v>
      </c>
      <c r="H225" t="s">
        <v>912</v>
      </c>
      <c r="I225" s="8">
        <v>45471</v>
      </c>
      <c r="J225" s="8">
        <v>45355</v>
      </c>
      <c r="K225" t="s">
        <v>19</v>
      </c>
      <c r="L225" t="s">
        <v>914</v>
      </c>
      <c r="M225">
        <f t="shared" si="9"/>
        <v>-116</v>
      </c>
      <c r="N225" s="9">
        <f t="shared" si="10"/>
        <v>0</v>
      </c>
      <c r="O225" s="10" t="str">
        <f t="shared" si="11"/>
        <v>18-25</v>
      </c>
    </row>
    <row r="226" spans="1:15" x14ac:dyDescent="0.3">
      <c r="A226">
        <v>1481</v>
      </c>
      <c r="B226" t="s">
        <v>21</v>
      </c>
      <c r="C226" s="3">
        <v>21</v>
      </c>
      <c r="D226" t="s">
        <v>661</v>
      </c>
      <c r="E226" t="s">
        <v>166</v>
      </c>
      <c r="F226" s="5" t="s">
        <v>735</v>
      </c>
      <c r="G226" s="3" t="s">
        <v>35</v>
      </c>
      <c r="H226" t="s">
        <v>911</v>
      </c>
      <c r="I226" s="8">
        <v>45446</v>
      </c>
      <c r="J226" s="8">
        <v>45452</v>
      </c>
      <c r="K226" t="s">
        <v>913</v>
      </c>
      <c r="L226" t="s">
        <v>915</v>
      </c>
      <c r="M226">
        <f t="shared" si="9"/>
        <v>6</v>
      </c>
      <c r="N226" s="9">
        <f t="shared" si="10"/>
        <v>0</v>
      </c>
      <c r="O226" s="10" t="str">
        <f t="shared" si="11"/>
        <v>18-25</v>
      </c>
    </row>
    <row r="227" spans="1:15" x14ac:dyDescent="0.3">
      <c r="A227">
        <v>1003</v>
      </c>
      <c r="B227" t="s">
        <v>660</v>
      </c>
      <c r="C227" s="3">
        <v>22</v>
      </c>
      <c r="D227" t="s">
        <v>23</v>
      </c>
      <c r="E227" t="s">
        <v>155</v>
      </c>
      <c r="F227" s="5" t="s">
        <v>736</v>
      </c>
      <c r="G227" s="3">
        <v>4</v>
      </c>
      <c r="H227" t="s">
        <v>16</v>
      </c>
      <c r="I227" s="8">
        <v>45366</v>
      </c>
      <c r="J227" s="8">
        <v>45427</v>
      </c>
      <c r="K227" t="s">
        <v>913</v>
      </c>
      <c r="L227" t="s">
        <v>917</v>
      </c>
      <c r="M227">
        <f t="shared" si="9"/>
        <v>61</v>
      </c>
      <c r="N227" s="9">
        <f t="shared" si="10"/>
        <v>0</v>
      </c>
      <c r="O227" s="10" t="str">
        <f t="shared" si="11"/>
        <v>18-25</v>
      </c>
    </row>
    <row r="228" spans="1:15" x14ac:dyDescent="0.3">
      <c r="A228">
        <v>1017</v>
      </c>
      <c r="B228" t="s">
        <v>21</v>
      </c>
      <c r="C228" s="3">
        <v>23</v>
      </c>
      <c r="D228" t="s">
        <v>54</v>
      </c>
      <c r="E228" t="s">
        <v>24</v>
      </c>
      <c r="F228" s="5" t="s">
        <v>810</v>
      </c>
      <c r="G228" s="3">
        <v>1</v>
      </c>
      <c r="H228" t="s">
        <v>912</v>
      </c>
      <c r="I228" s="8">
        <v>45339</v>
      </c>
      <c r="J228" s="8">
        <v>45463</v>
      </c>
      <c r="K228" t="s">
        <v>19</v>
      </c>
      <c r="L228" t="s">
        <v>915</v>
      </c>
      <c r="M228">
        <f t="shared" si="9"/>
        <v>124</v>
      </c>
      <c r="N228" s="9">
        <f t="shared" si="10"/>
        <v>0</v>
      </c>
      <c r="O228" s="10" t="str">
        <f t="shared" si="11"/>
        <v>18-25</v>
      </c>
    </row>
    <row r="229" spans="1:15" x14ac:dyDescent="0.3">
      <c r="A229">
        <v>1088</v>
      </c>
      <c r="B229" t="s">
        <v>660</v>
      </c>
      <c r="C229" s="3">
        <v>21</v>
      </c>
      <c r="D229" t="s">
        <v>54</v>
      </c>
      <c r="E229" t="s">
        <v>83</v>
      </c>
      <c r="F229" s="5" t="s">
        <v>811</v>
      </c>
      <c r="G229" s="3" t="s">
        <v>49</v>
      </c>
      <c r="H229" t="s">
        <v>912</v>
      </c>
      <c r="I229" s="8">
        <v>45384</v>
      </c>
      <c r="J229" s="8">
        <v>45365</v>
      </c>
      <c r="K229" t="s">
        <v>913</v>
      </c>
      <c r="L229" t="s">
        <v>916</v>
      </c>
      <c r="M229">
        <f t="shared" si="9"/>
        <v>-19</v>
      </c>
      <c r="N229" s="9">
        <f t="shared" si="10"/>
        <v>0</v>
      </c>
      <c r="O229" s="10" t="str">
        <f t="shared" si="11"/>
        <v>18-25</v>
      </c>
    </row>
    <row r="230" spans="1:15" x14ac:dyDescent="0.3">
      <c r="A230">
        <v>1238</v>
      </c>
      <c r="B230" t="s">
        <v>659</v>
      </c>
      <c r="C230" s="3">
        <v>21</v>
      </c>
      <c r="D230" t="s">
        <v>54</v>
      </c>
      <c r="E230" t="s">
        <v>24</v>
      </c>
      <c r="F230" s="5" t="s">
        <v>904</v>
      </c>
      <c r="G230" s="3">
        <v>5</v>
      </c>
      <c r="H230" t="s">
        <v>911</v>
      </c>
      <c r="I230" s="8">
        <v>45475</v>
      </c>
      <c r="J230" s="8">
        <v>45409</v>
      </c>
      <c r="K230" t="s">
        <v>39</v>
      </c>
      <c r="L230" t="s">
        <v>916</v>
      </c>
      <c r="M230">
        <f t="shared" si="9"/>
        <v>-66</v>
      </c>
      <c r="N230" s="9">
        <f t="shared" si="10"/>
        <v>1</v>
      </c>
      <c r="O230" s="10" t="str">
        <f t="shared" si="11"/>
        <v>18-25</v>
      </c>
    </row>
    <row r="231" spans="1:15" x14ac:dyDescent="0.3">
      <c r="A231">
        <v>1215</v>
      </c>
      <c r="B231" t="s">
        <v>11</v>
      </c>
      <c r="C231" s="3">
        <v>22</v>
      </c>
      <c r="D231" t="s">
        <v>54</v>
      </c>
      <c r="E231" t="s">
        <v>155</v>
      </c>
      <c r="F231" s="5" t="s">
        <v>737</v>
      </c>
      <c r="G231" s="3" t="s">
        <v>15</v>
      </c>
      <c r="H231" t="s">
        <v>16</v>
      </c>
      <c r="I231" s="8">
        <v>45319</v>
      </c>
      <c r="J231" s="8">
        <v>45437</v>
      </c>
      <c r="K231" t="s">
        <v>39</v>
      </c>
      <c r="L231" t="s">
        <v>914</v>
      </c>
      <c r="M231">
        <f t="shared" si="9"/>
        <v>118</v>
      </c>
      <c r="N231" s="9">
        <f t="shared" si="10"/>
        <v>1</v>
      </c>
      <c r="O231" s="10" t="str">
        <f t="shared" si="11"/>
        <v>18-25</v>
      </c>
    </row>
    <row r="232" spans="1:15" x14ac:dyDescent="0.3">
      <c r="A232">
        <v>1197</v>
      </c>
      <c r="B232" t="s">
        <v>21</v>
      </c>
      <c r="C232" s="3">
        <v>25</v>
      </c>
      <c r="D232" t="s">
        <v>23</v>
      </c>
      <c r="E232" t="s">
        <v>83</v>
      </c>
      <c r="F232" s="5" t="s">
        <v>738</v>
      </c>
      <c r="G232" s="3">
        <v>1</v>
      </c>
      <c r="H232" t="s">
        <v>912</v>
      </c>
      <c r="I232" s="8">
        <v>45470</v>
      </c>
      <c r="J232" s="8">
        <v>45397</v>
      </c>
      <c r="K232" t="s">
        <v>39</v>
      </c>
      <c r="L232" t="s">
        <v>915</v>
      </c>
      <c r="M232">
        <f t="shared" si="9"/>
        <v>-73</v>
      </c>
      <c r="N232" s="9">
        <f t="shared" si="10"/>
        <v>1</v>
      </c>
      <c r="O232" s="10" t="str">
        <f t="shared" si="11"/>
        <v>18-25</v>
      </c>
    </row>
    <row r="233" spans="1:15" x14ac:dyDescent="0.3">
      <c r="A233">
        <v>1097</v>
      </c>
      <c r="B233" t="s">
        <v>21</v>
      </c>
      <c r="C233" s="3">
        <v>18</v>
      </c>
      <c r="D233" t="s">
        <v>54</v>
      </c>
      <c r="E233" t="s">
        <v>83</v>
      </c>
      <c r="F233" s="5" t="s">
        <v>905</v>
      </c>
      <c r="G233" s="3" t="s">
        <v>15</v>
      </c>
      <c r="H233" t="s">
        <v>911</v>
      </c>
      <c r="I233" s="8">
        <v>45462</v>
      </c>
      <c r="J233" s="8">
        <v>45407</v>
      </c>
      <c r="K233" t="s">
        <v>39</v>
      </c>
      <c r="L233" t="s">
        <v>920</v>
      </c>
      <c r="M233">
        <f t="shared" si="9"/>
        <v>-55</v>
      </c>
      <c r="N233" s="9">
        <f t="shared" si="10"/>
        <v>1</v>
      </c>
      <c r="O233" s="10" t="str">
        <f t="shared" si="11"/>
        <v>18-25</v>
      </c>
    </row>
    <row r="234" spans="1:15" x14ac:dyDescent="0.3">
      <c r="A234">
        <v>1050</v>
      </c>
      <c r="B234" t="s">
        <v>135</v>
      </c>
      <c r="C234" s="3">
        <v>19</v>
      </c>
      <c r="D234" t="s">
        <v>23</v>
      </c>
      <c r="E234" t="s">
        <v>83</v>
      </c>
      <c r="F234" s="5" t="s">
        <v>812</v>
      </c>
      <c r="G234" s="3">
        <v>5</v>
      </c>
      <c r="H234" t="s">
        <v>911</v>
      </c>
      <c r="I234" s="8">
        <v>45450</v>
      </c>
      <c r="J234" s="8">
        <v>45416</v>
      </c>
      <c r="K234" t="s">
        <v>39</v>
      </c>
      <c r="L234" t="s">
        <v>918</v>
      </c>
      <c r="M234">
        <f t="shared" si="9"/>
        <v>-34</v>
      </c>
      <c r="N234" s="9">
        <f t="shared" si="10"/>
        <v>1</v>
      </c>
      <c r="O234" s="10" t="str">
        <f t="shared" si="11"/>
        <v>18-25</v>
      </c>
    </row>
    <row r="235" spans="1:15" x14ac:dyDescent="0.3">
      <c r="A235">
        <v>1357</v>
      </c>
      <c r="B235" t="s">
        <v>116</v>
      </c>
      <c r="C235" s="3">
        <v>25</v>
      </c>
      <c r="D235" t="s">
        <v>23</v>
      </c>
      <c r="E235" t="s">
        <v>83</v>
      </c>
      <c r="F235" s="5" t="s">
        <v>906</v>
      </c>
      <c r="G235" s="3" t="s">
        <v>49</v>
      </c>
      <c r="H235" t="s">
        <v>912</v>
      </c>
      <c r="I235" s="8">
        <v>45313</v>
      </c>
      <c r="J235" s="8">
        <v>45408</v>
      </c>
      <c r="K235" t="s">
        <v>68</v>
      </c>
      <c r="L235" t="s">
        <v>920</v>
      </c>
      <c r="M235">
        <f t="shared" si="9"/>
        <v>95</v>
      </c>
      <c r="N235" s="9">
        <f t="shared" si="10"/>
        <v>0</v>
      </c>
      <c r="O235" s="10" t="str">
        <f t="shared" si="11"/>
        <v>18-25</v>
      </c>
    </row>
    <row r="236" spans="1:15" x14ac:dyDescent="0.3">
      <c r="A236">
        <v>1130</v>
      </c>
      <c r="B236" t="s">
        <v>21</v>
      </c>
      <c r="C236" s="3">
        <v>22</v>
      </c>
      <c r="D236" t="s">
        <v>661</v>
      </c>
      <c r="E236" t="s">
        <v>155</v>
      </c>
      <c r="F236" s="5" t="s">
        <v>813</v>
      </c>
      <c r="G236" s="3" t="s">
        <v>70</v>
      </c>
      <c r="H236" t="s">
        <v>912</v>
      </c>
      <c r="I236" s="8">
        <v>45340</v>
      </c>
      <c r="J236" s="8">
        <v>45418</v>
      </c>
      <c r="K236" t="s">
        <v>39</v>
      </c>
      <c r="L236" t="s">
        <v>915</v>
      </c>
      <c r="M236">
        <f t="shared" si="9"/>
        <v>78</v>
      </c>
      <c r="N236" s="9">
        <f t="shared" si="10"/>
        <v>1</v>
      </c>
      <c r="O236" s="10" t="str">
        <f t="shared" si="11"/>
        <v>18-25</v>
      </c>
    </row>
    <row r="237" spans="1:15" x14ac:dyDescent="0.3">
      <c r="A237">
        <v>1146</v>
      </c>
      <c r="B237" t="s">
        <v>11</v>
      </c>
      <c r="C237" s="3">
        <v>21</v>
      </c>
      <c r="D237" t="s">
        <v>54</v>
      </c>
      <c r="E237" t="s">
        <v>24</v>
      </c>
      <c r="F237" s="5" t="s">
        <v>861</v>
      </c>
      <c r="G237" s="3" t="s">
        <v>35</v>
      </c>
      <c r="H237" t="s">
        <v>27</v>
      </c>
      <c r="I237" s="8">
        <v>45398</v>
      </c>
      <c r="J237" s="8">
        <v>45354</v>
      </c>
      <c r="K237" t="s">
        <v>39</v>
      </c>
      <c r="L237" t="s">
        <v>917</v>
      </c>
      <c r="M237">
        <f t="shared" si="9"/>
        <v>-44</v>
      </c>
      <c r="N237" s="9">
        <f t="shared" si="10"/>
        <v>1</v>
      </c>
      <c r="O237" s="10" t="str">
        <f t="shared" si="11"/>
        <v>18-25</v>
      </c>
    </row>
    <row r="238" spans="1:15" x14ac:dyDescent="0.3">
      <c r="A238">
        <v>1302</v>
      </c>
      <c r="B238" t="s">
        <v>116</v>
      </c>
      <c r="C238" s="3">
        <v>23</v>
      </c>
      <c r="D238" t="s">
        <v>23</v>
      </c>
      <c r="E238" t="s">
        <v>155</v>
      </c>
      <c r="F238" s="5" t="s">
        <v>814</v>
      </c>
      <c r="G238" s="3" t="s">
        <v>65</v>
      </c>
      <c r="H238" t="s">
        <v>16</v>
      </c>
      <c r="I238" s="8">
        <v>45359</v>
      </c>
      <c r="J238" s="8">
        <v>45418</v>
      </c>
      <c r="K238" t="s">
        <v>39</v>
      </c>
      <c r="L238" t="s">
        <v>915</v>
      </c>
      <c r="M238">
        <f t="shared" si="9"/>
        <v>59</v>
      </c>
      <c r="N238" s="9">
        <f t="shared" si="10"/>
        <v>1</v>
      </c>
      <c r="O238" s="10" t="str">
        <f t="shared" si="11"/>
        <v>18-25</v>
      </c>
    </row>
    <row r="239" spans="1:15" x14ac:dyDescent="0.3">
      <c r="A239">
        <v>1045</v>
      </c>
      <c r="B239" t="s">
        <v>21</v>
      </c>
      <c r="C239" s="3">
        <v>22</v>
      </c>
      <c r="D239" t="s">
        <v>54</v>
      </c>
      <c r="E239" t="s">
        <v>155</v>
      </c>
      <c r="F239" s="5" t="s">
        <v>907</v>
      </c>
      <c r="G239" s="3" t="s">
        <v>65</v>
      </c>
      <c r="H239" t="s">
        <v>16</v>
      </c>
      <c r="I239" s="8">
        <v>45567</v>
      </c>
      <c r="J239" s="8">
        <v>45314</v>
      </c>
      <c r="K239" t="s">
        <v>68</v>
      </c>
      <c r="L239" t="s">
        <v>918</v>
      </c>
      <c r="M239">
        <f t="shared" si="9"/>
        <v>-253</v>
      </c>
      <c r="N239" s="9">
        <f t="shared" si="10"/>
        <v>0</v>
      </c>
      <c r="O239" s="10" t="str">
        <f t="shared" si="11"/>
        <v>18-25</v>
      </c>
    </row>
    <row r="240" spans="1:15" x14ac:dyDescent="0.3">
      <c r="A240">
        <v>1441</v>
      </c>
      <c r="B240" t="s">
        <v>657</v>
      </c>
      <c r="C240" s="3">
        <v>23</v>
      </c>
      <c r="D240" t="s">
        <v>54</v>
      </c>
      <c r="E240" t="s">
        <v>24</v>
      </c>
      <c r="F240" s="5" t="s">
        <v>908</v>
      </c>
      <c r="G240" s="3" t="s">
        <v>70</v>
      </c>
      <c r="H240" t="s">
        <v>912</v>
      </c>
      <c r="I240" s="8">
        <v>45440</v>
      </c>
      <c r="J240" s="8">
        <v>45332</v>
      </c>
      <c r="K240" t="s">
        <v>19</v>
      </c>
      <c r="L240" t="s">
        <v>914</v>
      </c>
      <c r="M240">
        <f t="shared" si="9"/>
        <v>-108</v>
      </c>
      <c r="N240" s="9">
        <f t="shared" si="10"/>
        <v>0</v>
      </c>
      <c r="O240" s="10" t="str">
        <f t="shared" si="11"/>
        <v>18-25</v>
      </c>
    </row>
    <row r="241" spans="1:15" x14ac:dyDescent="0.3">
      <c r="A241">
        <v>1419</v>
      </c>
      <c r="B241" t="s">
        <v>660</v>
      </c>
      <c r="C241" s="3">
        <v>18</v>
      </c>
      <c r="D241" t="s">
        <v>54</v>
      </c>
      <c r="E241" t="s">
        <v>24</v>
      </c>
      <c r="F241" s="5" t="s">
        <v>739</v>
      </c>
      <c r="G241" s="3">
        <v>5</v>
      </c>
      <c r="H241" t="s">
        <v>16</v>
      </c>
      <c r="I241" s="8">
        <v>45479</v>
      </c>
      <c r="J241" s="8">
        <v>45449</v>
      </c>
      <c r="K241" t="s">
        <v>68</v>
      </c>
      <c r="L241" t="s">
        <v>914</v>
      </c>
      <c r="M241">
        <f t="shared" si="9"/>
        <v>-30</v>
      </c>
      <c r="N241" s="9">
        <f t="shared" si="10"/>
        <v>0</v>
      </c>
      <c r="O241" s="10" t="str">
        <f t="shared" si="11"/>
        <v>18-25</v>
      </c>
    </row>
    <row r="242" spans="1:15" x14ac:dyDescent="0.3">
      <c r="A242">
        <v>1018</v>
      </c>
      <c r="B242" t="s">
        <v>660</v>
      </c>
      <c r="C242" s="3">
        <v>22</v>
      </c>
      <c r="D242" t="s">
        <v>23</v>
      </c>
      <c r="E242" t="s">
        <v>155</v>
      </c>
      <c r="F242" s="5" t="s">
        <v>862</v>
      </c>
      <c r="G242" s="3" t="s">
        <v>65</v>
      </c>
      <c r="H242" t="s">
        <v>912</v>
      </c>
      <c r="I242" s="8">
        <v>45356</v>
      </c>
      <c r="J242" s="8">
        <v>45326</v>
      </c>
      <c r="K242" t="s">
        <v>39</v>
      </c>
      <c r="L242" t="s">
        <v>918</v>
      </c>
      <c r="M242">
        <f t="shared" si="9"/>
        <v>-30</v>
      </c>
      <c r="N242" s="9">
        <f t="shared" si="10"/>
        <v>1</v>
      </c>
      <c r="O242" s="10" t="str">
        <f t="shared" si="11"/>
        <v>18-25</v>
      </c>
    </row>
    <row r="243" spans="1:15" x14ac:dyDescent="0.3">
      <c r="A243">
        <v>1475</v>
      </c>
      <c r="B243" t="s">
        <v>21</v>
      </c>
      <c r="C243" s="3">
        <v>23</v>
      </c>
      <c r="D243" t="s">
        <v>54</v>
      </c>
      <c r="E243" t="s">
        <v>166</v>
      </c>
      <c r="F243" s="5" t="s">
        <v>863</v>
      </c>
      <c r="G243" s="3">
        <v>4</v>
      </c>
      <c r="H243" t="s">
        <v>911</v>
      </c>
      <c r="I243" s="8">
        <v>45316</v>
      </c>
      <c r="J243" s="8">
        <v>45399</v>
      </c>
      <c r="K243" t="s">
        <v>68</v>
      </c>
      <c r="L243" t="s">
        <v>917</v>
      </c>
      <c r="M243">
        <f t="shared" si="9"/>
        <v>83</v>
      </c>
      <c r="N243" s="9">
        <f t="shared" si="10"/>
        <v>0</v>
      </c>
      <c r="O243" s="10" t="str">
        <f t="shared" si="11"/>
        <v>18-25</v>
      </c>
    </row>
    <row r="244" spans="1:15" x14ac:dyDescent="0.3">
      <c r="A244">
        <v>1174</v>
      </c>
      <c r="B244" t="s">
        <v>21</v>
      </c>
      <c r="C244" s="3">
        <v>22</v>
      </c>
      <c r="D244" t="s">
        <v>54</v>
      </c>
      <c r="E244" t="s">
        <v>24</v>
      </c>
      <c r="F244" s="5" t="s">
        <v>740</v>
      </c>
      <c r="G244" s="3">
        <v>1</v>
      </c>
      <c r="H244" t="s">
        <v>16</v>
      </c>
      <c r="I244" s="8">
        <v>45390</v>
      </c>
      <c r="J244" s="8">
        <v>45400</v>
      </c>
      <c r="K244" t="s">
        <v>913</v>
      </c>
      <c r="L244" t="s">
        <v>916</v>
      </c>
      <c r="M244">
        <f t="shared" si="9"/>
        <v>10</v>
      </c>
      <c r="N244" s="9">
        <f t="shared" si="10"/>
        <v>0</v>
      </c>
      <c r="O244" s="10" t="str">
        <f t="shared" si="11"/>
        <v>18-25</v>
      </c>
    </row>
    <row r="245" spans="1:15" x14ac:dyDescent="0.3">
      <c r="A245">
        <v>1438</v>
      </c>
      <c r="B245" t="s">
        <v>11</v>
      </c>
      <c r="C245" s="3">
        <v>22</v>
      </c>
      <c r="D245" t="s">
        <v>661</v>
      </c>
      <c r="E245" t="s">
        <v>83</v>
      </c>
      <c r="F245" s="5" t="s">
        <v>864</v>
      </c>
      <c r="G245" s="3" t="s">
        <v>70</v>
      </c>
      <c r="H245" t="s">
        <v>16</v>
      </c>
      <c r="I245" s="8">
        <v>45465</v>
      </c>
      <c r="J245" s="8">
        <v>45420</v>
      </c>
      <c r="K245" t="s">
        <v>39</v>
      </c>
      <c r="L245" t="s">
        <v>917</v>
      </c>
      <c r="M245">
        <f t="shared" si="9"/>
        <v>-45</v>
      </c>
      <c r="N245" s="9">
        <f t="shared" si="10"/>
        <v>1</v>
      </c>
      <c r="O245" s="10" t="str">
        <f t="shared" si="11"/>
        <v>18-25</v>
      </c>
    </row>
    <row r="246" spans="1:15" x14ac:dyDescent="0.3">
      <c r="A246">
        <v>1073</v>
      </c>
      <c r="B246" t="s">
        <v>659</v>
      </c>
      <c r="C246" s="3">
        <v>22</v>
      </c>
      <c r="D246" t="s">
        <v>23</v>
      </c>
      <c r="E246" t="s">
        <v>155</v>
      </c>
      <c r="F246" s="5" t="s">
        <v>909</v>
      </c>
      <c r="G246" s="3" t="s">
        <v>35</v>
      </c>
      <c r="H246" t="s">
        <v>16</v>
      </c>
      <c r="I246" s="8">
        <v>45358</v>
      </c>
      <c r="J246" s="8">
        <v>45323</v>
      </c>
      <c r="K246" t="s">
        <v>68</v>
      </c>
      <c r="L246" t="s">
        <v>916</v>
      </c>
      <c r="M246">
        <f t="shared" si="9"/>
        <v>-35</v>
      </c>
      <c r="N246" s="9">
        <f t="shared" si="10"/>
        <v>0</v>
      </c>
      <c r="O246" s="10" t="str">
        <f t="shared" si="11"/>
        <v>18-25</v>
      </c>
    </row>
    <row r="247" spans="1:15" x14ac:dyDescent="0.3">
      <c r="A247">
        <v>1465</v>
      </c>
      <c r="B247" t="s">
        <v>657</v>
      </c>
      <c r="C247" s="3">
        <v>25</v>
      </c>
      <c r="D247" t="s">
        <v>661</v>
      </c>
      <c r="E247" t="s">
        <v>166</v>
      </c>
      <c r="F247" s="5" t="s">
        <v>741</v>
      </c>
      <c r="G247" s="3">
        <v>5</v>
      </c>
      <c r="H247" t="s">
        <v>911</v>
      </c>
      <c r="I247" s="8">
        <v>45343</v>
      </c>
      <c r="J247" s="8">
        <v>45364</v>
      </c>
      <c r="K247" t="s">
        <v>68</v>
      </c>
      <c r="L247" t="s">
        <v>920</v>
      </c>
      <c r="M247">
        <f t="shared" si="9"/>
        <v>21</v>
      </c>
      <c r="N247" s="9">
        <f t="shared" si="10"/>
        <v>0</v>
      </c>
      <c r="O247" s="10" t="str">
        <f t="shared" si="11"/>
        <v>18-25</v>
      </c>
    </row>
    <row r="248" spans="1:15" x14ac:dyDescent="0.3">
      <c r="A248">
        <v>1062</v>
      </c>
      <c r="B248" t="s">
        <v>659</v>
      </c>
      <c r="C248" s="3">
        <v>22</v>
      </c>
      <c r="D248" t="s">
        <v>661</v>
      </c>
      <c r="E248" t="s">
        <v>155</v>
      </c>
      <c r="F248" s="5" t="s">
        <v>815</v>
      </c>
      <c r="G248" s="3">
        <v>4</v>
      </c>
      <c r="H248" t="s">
        <v>912</v>
      </c>
      <c r="I248" s="8">
        <v>45447</v>
      </c>
      <c r="J248" s="8">
        <v>45365</v>
      </c>
      <c r="K248" t="s">
        <v>913</v>
      </c>
      <c r="L248" t="s">
        <v>915</v>
      </c>
      <c r="M248">
        <f t="shared" si="9"/>
        <v>-82</v>
      </c>
      <c r="N248" s="9">
        <f t="shared" si="10"/>
        <v>0</v>
      </c>
      <c r="O248" s="10" t="str">
        <f t="shared" si="11"/>
        <v>18-25</v>
      </c>
    </row>
    <row r="249" spans="1:15" x14ac:dyDescent="0.3">
      <c r="A249">
        <v>1195</v>
      </c>
      <c r="B249" t="s">
        <v>659</v>
      </c>
      <c r="C249" s="3">
        <v>25</v>
      </c>
      <c r="D249" t="s">
        <v>23</v>
      </c>
      <c r="E249" t="s">
        <v>83</v>
      </c>
      <c r="F249" s="5" t="s">
        <v>742</v>
      </c>
      <c r="G249" s="3" t="s">
        <v>70</v>
      </c>
      <c r="H249" t="s">
        <v>911</v>
      </c>
      <c r="I249" s="8">
        <v>45348</v>
      </c>
      <c r="J249" s="8">
        <v>45345</v>
      </c>
      <c r="K249" t="s">
        <v>39</v>
      </c>
      <c r="L249" t="s">
        <v>919</v>
      </c>
      <c r="M249">
        <f t="shared" si="9"/>
        <v>-3</v>
      </c>
      <c r="N249" s="9">
        <f t="shared" si="10"/>
        <v>1</v>
      </c>
      <c r="O249" s="10" t="str">
        <f t="shared" si="11"/>
        <v>18-25</v>
      </c>
    </row>
    <row r="250" spans="1:15" x14ac:dyDescent="0.3">
      <c r="A250">
        <v>1139</v>
      </c>
      <c r="B250" t="s">
        <v>657</v>
      </c>
      <c r="C250" s="3">
        <v>22</v>
      </c>
      <c r="D250" t="s">
        <v>54</v>
      </c>
      <c r="E250" t="s">
        <v>166</v>
      </c>
      <c r="F250" s="5" t="s">
        <v>910</v>
      </c>
      <c r="G250" s="3">
        <v>5</v>
      </c>
      <c r="H250" t="s">
        <v>911</v>
      </c>
      <c r="I250" s="8">
        <v>45314</v>
      </c>
      <c r="J250" s="8">
        <v>45309</v>
      </c>
      <c r="K250" t="s">
        <v>19</v>
      </c>
      <c r="L250" t="s">
        <v>917</v>
      </c>
      <c r="M250">
        <f t="shared" si="9"/>
        <v>-5</v>
      </c>
      <c r="N250" s="9">
        <f t="shared" si="10"/>
        <v>0</v>
      </c>
      <c r="O250" s="10" t="str">
        <f t="shared" si="11"/>
        <v>18-25</v>
      </c>
    </row>
    <row r="251" spans="1:15" x14ac:dyDescent="0.3">
      <c r="A251">
        <v>1230</v>
      </c>
      <c r="B251" t="s">
        <v>11</v>
      </c>
      <c r="C251" s="3">
        <v>21</v>
      </c>
      <c r="D251" t="s">
        <v>54</v>
      </c>
      <c r="E251" t="s">
        <v>24</v>
      </c>
      <c r="F251" s="5" t="s">
        <v>747</v>
      </c>
      <c r="G251" s="3">
        <v>5</v>
      </c>
      <c r="H251" t="s">
        <v>16</v>
      </c>
      <c r="I251" s="8">
        <v>45370</v>
      </c>
      <c r="J251" s="8">
        <v>45399</v>
      </c>
      <c r="K251" t="s">
        <v>39</v>
      </c>
      <c r="L251" t="s">
        <v>919</v>
      </c>
      <c r="M251">
        <f t="shared" si="9"/>
        <v>29</v>
      </c>
      <c r="N251" s="9">
        <f t="shared" si="10"/>
        <v>1</v>
      </c>
      <c r="O251" s="10" t="str">
        <f t="shared" si="11"/>
        <v>18-25</v>
      </c>
    </row>
    <row r="252" spans="1:15" x14ac:dyDescent="0.3">
      <c r="M252">
        <f t="shared" si="9"/>
        <v>0</v>
      </c>
      <c r="N252" s="9">
        <f t="shared" si="10"/>
        <v>0</v>
      </c>
      <c r="O252" s="10" t="str">
        <f t="shared" si="11"/>
        <v>18-25</v>
      </c>
    </row>
    <row r="253" spans="1:15" x14ac:dyDescent="0.3">
      <c r="M253">
        <f t="shared" si="9"/>
        <v>0</v>
      </c>
      <c r="N253" s="9">
        <f t="shared" si="10"/>
        <v>0</v>
      </c>
      <c r="O253" s="10" t="str">
        <f t="shared" si="11"/>
        <v>18-25</v>
      </c>
    </row>
    <row r="254" spans="1:15" x14ac:dyDescent="0.3">
      <c r="M254">
        <f t="shared" si="9"/>
        <v>0</v>
      </c>
      <c r="N254" s="9">
        <f t="shared" si="10"/>
        <v>0</v>
      </c>
      <c r="O254" s="10" t="str">
        <f t="shared" si="11"/>
        <v>18-25</v>
      </c>
    </row>
    <row r="255" spans="1:15" x14ac:dyDescent="0.3">
      <c r="M255">
        <f t="shared" si="9"/>
        <v>0</v>
      </c>
      <c r="N255" s="9">
        <f t="shared" si="10"/>
        <v>0</v>
      </c>
      <c r="O255" s="10" t="str">
        <f t="shared" si="11"/>
        <v>18-25</v>
      </c>
    </row>
    <row r="256" spans="1:15" x14ac:dyDescent="0.3">
      <c r="M256">
        <f t="shared" si="9"/>
        <v>0</v>
      </c>
      <c r="N256" s="9">
        <f t="shared" si="10"/>
        <v>0</v>
      </c>
      <c r="O256" s="10" t="str">
        <f t="shared" si="11"/>
        <v>18-25</v>
      </c>
    </row>
    <row r="257" spans="13:15" x14ac:dyDescent="0.3">
      <c r="M257">
        <f t="shared" si="9"/>
        <v>0</v>
      </c>
      <c r="N257" s="9">
        <f t="shared" si="10"/>
        <v>0</v>
      </c>
      <c r="O257" s="10" t="str">
        <f t="shared" si="11"/>
        <v>18-25</v>
      </c>
    </row>
    <row r="258" spans="13:15" x14ac:dyDescent="0.3">
      <c r="M258">
        <f t="shared" ref="M258:M266" si="12">J258-I258</f>
        <v>0</v>
      </c>
      <c r="N258" s="9">
        <f t="shared" ref="N258:N266" si="13">IF(K258="Active", 1, 0)</f>
        <v>0</v>
      </c>
      <c r="O258" s="10" t="str">
        <f t="shared" ref="O258:O266" si="14">IF(C258&lt;=25, "18-25", IF(C258&lt;=35, "26-35", IF(C258&lt;=50, "36-50", "51+")))</f>
        <v>18-25</v>
      </c>
    </row>
    <row r="259" spans="13:15" x14ac:dyDescent="0.3">
      <c r="M259">
        <f t="shared" si="12"/>
        <v>0</v>
      </c>
      <c r="N259" s="9">
        <f t="shared" si="13"/>
        <v>0</v>
      </c>
      <c r="O259" s="10" t="str">
        <f t="shared" si="14"/>
        <v>18-25</v>
      </c>
    </row>
    <row r="260" spans="13:15" x14ac:dyDescent="0.3">
      <c r="M260">
        <f t="shared" si="12"/>
        <v>0</v>
      </c>
      <c r="N260" s="9">
        <f t="shared" si="13"/>
        <v>0</v>
      </c>
      <c r="O260" s="10" t="str">
        <f t="shared" si="14"/>
        <v>18-25</v>
      </c>
    </row>
    <row r="261" spans="13:15" x14ac:dyDescent="0.3">
      <c r="M261">
        <f t="shared" si="12"/>
        <v>0</v>
      </c>
      <c r="N261" s="9">
        <f t="shared" si="13"/>
        <v>0</v>
      </c>
      <c r="O261" s="10" t="str">
        <f t="shared" si="14"/>
        <v>18-25</v>
      </c>
    </row>
    <row r="262" spans="13:15" x14ac:dyDescent="0.3">
      <c r="M262">
        <f t="shared" si="12"/>
        <v>0</v>
      </c>
      <c r="N262" s="9">
        <f t="shared" si="13"/>
        <v>0</v>
      </c>
      <c r="O262" s="10" t="str">
        <f t="shared" si="14"/>
        <v>18-25</v>
      </c>
    </row>
    <row r="263" spans="13:15" x14ac:dyDescent="0.3">
      <c r="M263">
        <f t="shared" si="12"/>
        <v>0</v>
      </c>
      <c r="N263" s="9">
        <f t="shared" si="13"/>
        <v>0</v>
      </c>
      <c r="O263" s="10" t="str">
        <f t="shared" si="14"/>
        <v>18-25</v>
      </c>
    </row>
    <row r="264" spans="13:15" x14ac:dyDescent="0.3">
      <c r="M264">
        <f t="shared" si="12"/>
        <v>0</v>
      </c>
      <c r="N264" s="9">
        <f t="shared" si="13"/>
        <v>0</v>
      </c>
      <c r="O264" s="10" t="str">
        <f t="shared" si="14"/>
        <v>18-25</v>
      </c>
    </row>
    <row r="265" spans="13:15" x14ac:dyDescent="0.3">
      <c r="M265">
        <f t="shared" si="12"/>
        <v>0</v>
      </c>
      <c r="N265" s="9">
        <f t="shared" si="13"/>
        <v>0</v>
      </c>
      <c r="O265" s="10" t="str">
        <f t="shared" si="14"/>
        <v>18-25</v>
      </c>
    </row>
    <row r="266" spans="13:15" x14ac:dyDescent="0.3">
      <c r="M266">
        <f t="shared" si="12"/>
        <v>0</v>
      </c>
      <c r="N266" s="9">
        <f t="shared" si="13"/>
        <v>0</v>
      </c>
      <c r="O266" s="10" t="str">
        <f t="shared" si="14"/>
        <v>18-25</v>
      </c>
    </row>
  </sheetData>
  <hyperlinks>
    <hyperlink ref="F4" r:id="rId1" display="user@2yahoo.com" xr:uid="{6B6CB73B-FEE5-4C2C-800F-60FC222FAABF}"/>
    <hyperlink ref="F6" r:id="rId2" xr:uid="{A0ED47FF-B4C3-4FF7-A2C4-0B5E63A14BFF}"/>
    <hyperlink ref="F7" r:id="rId3" xr:uid="{8999044C-641B-4D94-ADE7-A6ED5BBFFB7E}"/>
    <hyperlink ref="F9" r:id="rId4" xr:uid="{3F2AC8BD-9065-4B41-8E3B-CC00230F8628}"/>
    <hyperlink ref="F12" r:id="rId5" xr:uid="{A16E2660-CAD3-45CA-A04F-63D1A51055FC}"/>
    <hyperlink ref="F13" r:id="rId6" xr:uid="{5E008429-C9F4-413A-BE06-E31A3ECA27AD}"/>
    <hyperlink ref="F16" r:id="rId7" xr:uid="{0F303FD3-EF65-4D70-8BE5-99ADB3D2C374}"/>
    <hyperlink ref="F17" r:id="rId8" xr:uid="{75580959-5191-4984-BC1C-40C6431D8DB3}"/>
    <hyperlink ref="F18" r:id="rId9" xr:uid="{AEEC9772-EFF4-4323-85F0-99B01775CC7D}"/>
    <hyperlink ref="F19" r:id="rId10" xr:uid="{9C4E6DCB-089C-4866-A74E-6F8D62E4614C}"/>
    <hyperlink ref="F21" r:id="rId11" xr:uid="{1D51A25E-E8C3-4A26-A7FA-74A90795204B}"/>
    <hyperlink ref="F22" r:id="rId12" xr:uid="{1D80878C-8559-46B4-BAB5-E8EA887FF108}"/>
    <hyperlink ref="F24" r:id="rId13" xr:uid="{D8E938D9-B154-48F3-B5D9-D100161B3BC2}"/>
    <hyperlink ref="F25" r:id="rId14" xr:uid="{E3451E2A-86D0-4F04-918F-A41DB71F7439}"/>
    <hyperlink ref="F26" r:id="rId15" xr:uid="{B1B2783C-2B9A-430C-A14C-30B2D60AA32C}"/>
    <hyperlink ref="F27" r:id="rId16" xr:uid="{611B0DFC-DB9A-4670-9F5C-D168F9C58FAA}"/>
    <hyperlink ref="F29" r:id="rId17" xr:uid="{69DBC566-C403-4CAA-91F4-16602F4A4A65}"/>
    <hyperlink ref="F30" r:id="rId18" xr:uid="{34FECFD0-3FA5-405F-866E-CFDC78E5AC38}"/>
    <hyperlink ref="F31" r:id="rId19" xr:uid="{7BBD20C6-B1CA-4B40-BF99-C924E9D60E8A}"/>
    <hyperlink ref="F32" r:id="rId20" xr:uid="{B309F4DD-EB26-4B0C-933C-90A8805AA8CF}"/>
    <hyperlink ref="F33" r:id="rId21" xr:uid="{2A0D5347-D202-44D5-A033-FC96DF04A7CC}"/>
    <hyperlink ref="F34" r:id="rId22" xr:uid="{22ACB8E0-5CC5-43C7-A124-1C7C429A87C3}"/>
    <hyperlink ref="F37" r:id="rId23" xr:uid="{B9A20C00-4659-4688-A54C-9820DE857B23}"/>
    <hyperlink ref="F38" r:id="rId24" xr:uid="{46352A83-9CE9-4B48-80A1-313811DB3DA5}"/>
    <hyperlink ref="F40" r:id="rId25" xr:uid="{9B905F3D-A94B-4D0C-96AF-BFC855EC5775}"/>
    <hyperlink ref="F41" r:id="rId26" xr:uid="{01D3E936-7987-4BFC-9AD8-CAB11AE3BE1B}"/>
    <hyperlink ref="F42" r:id="rId27" xr:uid="{F6D28BA2-295B-45FC-B697-5849BDFABC34}"/>
    <hyperlink ref="F43" r:id="rId28" xr:uid="{B739E0A3-CD04-4D18-9688-086CF1C7B3F7}"/>
    <hyperlink ref="F44" r:id="rId29" xr:uid="{1E2082A3-C955-4003-BCF7-A507CBBA1771}"/>
    <hyperlink ref="F45" r:id="rId30" xr:uid="{16ABF37F-3392-443C-8810-F999F93B3899}"/>
  </hyperlinks>
  <pageMargins left="0.7" right="0.7" top="0.75" bottom="0.75" header="0.3" footer="0.3"/>
  <tableParts count="1">
    <tablePart r:id="rId3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Cleaned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Kent Laurence</cp:lastModifiedBy>
  <dcterms:created xsi:type="dcterms:W3CDTF">2025-11-28T06:37:37Z</dcterms:created>
  <dcterms:modified xsi:type="dcterms:W3CDTF">2025-11-30T13:17:03Z</dcterms:modified>
</cp:coreProperties>
</file>